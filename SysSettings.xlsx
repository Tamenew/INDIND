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INDIND/"/>
    </mc:Choice>
  </mc:AlternateContent>
  <xr:revisionPtr revIDLastSave="22" documentId="13_ncr:1_{B7274479-AF5D-4CA5-BA99-CD0487ADDBC0}" xr6:coauthVersionLast="47" xr6:coauthVersionMax="47" xr10:uidLastSave="{19094B2A-F62B-4AA3-8A15-ECD730CD2F46}"/>
  <bookViews>
    <workbookView xWindow="-110" yWindow="-110" windowWidth="19420" windowHeight="12420" tabRatio="853" activeTab="3" xr2:uid="{00000000-000D-0000-FFFF-FFFF00000000}"/>
  </bookViews>
  <sheets>
    <sheet name="Region-Time Slices" sheetId="16" r:id="rId1"/>
    <sheet name="TimePeriods" sheetId="18" r:id="rId2"/>
    <sheet name="Import Settings" sheetId="17" r:id="rId3"/>
    <sheet name="Interpol_Extrapol_Defaults" sheetId="22" r:id="rId4"/>
    <sheet name="Constants" sheetId="20" r:id="rId5"/>
    <sheet name="Defaults" sheetId="21" r:id="rId6"/>
    <sheet name="Commodity Group" sheetId="15" r:id="rId7"/>
  </sheets>
  <externalReferences>
    <externalReference r:id="rId8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20" l="1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35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11" i="20"/>
  <c r="E10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4" authorId="0" shapeId="0" xr:uid="{00000000-0006-0000-0000-000001000000}">
      <text>
        <r>
          <rPr>
            <sz val="8"/>
            <color indexed="81"/>
            <rFont val="Tahoma"/>
            <family val="2"/>
          </rPr>
          <t>Automatically created for a New Project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G6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Possible definitions
</t>
        </r>
        <r>
          <rPr>
            <b/>
            <sz val="8"/>
            <color indexed="81"/>
            <rFont val="Tahoma"/>
            <family val="2"/>
          </rPr>
          <t xml:space="preserve">Y </t>
        </r>
        <r>
          <rPr>
            <sz val="8"/>
            <color indexed="81"/>
            <rFont val="Tahoma"/>
            <family val="2"/>
          </rPr>
          <t xml:space="preserve">or a </t>
        </r>
        <r>
          <rPr>
            <b/>
            <sz val="8"/>
            <color indexed="81"/>
            <rFont val="Tahoma"/>
            <family val="2"/>
          </rPr>
          <t>positive number</t>
        </r>
        <r>
          <rPr>
            <sz val="8"/>
            <color indexed="81"/>
            <rFont val="Tahoma"/>
            <family val="2"/>
          </rPr>
          <t xml:space="preserve"> (mean apply this User CG in that region)
Empty mean this User CG is not applied in that region</t>
        </r>
      </text>
    </comment>
  </commentList>
</comments>
</file>

<file path=xl/sharedStrings.xml><?xml version="1.0" encoding="utf-8"?>
<sst xmlns="http://schemas.openxmlformats.org/spreadsheetml/2006/main" count="255" uniqueCount="157">
  <si>
    <t>IMP*Z</t>
  </si>
  <si>
    <t>AllRegions</t>
  </si>
  <si>
    <t>Other_Indexes</t>
  </si>
  <si>
    <t>ACTCOST</t>
  </si>
  <si>
    <t>IMPDEMZ</t>
  </si>
  <si>
    <t>User-Defined CG</t>
  </si>
  <si>
    <t>~TFM_COMGRP</t>
  </si>
  <si>
    <t>Name</t>
  </si>
  <si>
    <t>Description</t>
  </si>
  <si>
    <t>~BookRegions_Map</t>
  </si>
  <si>
    <t>~TimeSlices</t>
  </si>
  <si>
    <t>Season</t>
  </si>
  <si>
    <t>Weekly</t>
  </si>
  <si>
    <t>DayNite</t>
  </si>
  <si>
    <t>BookName</t>
  </si>
  <si>
    <t>Region</t>
  </si>
  <si>
    <t>IRE</t>
  </si>
  <si>
    <t>~TFM_INS</t>
  </si>
  <si>
    <t>TimeSlice</t>
  </si>
  <si>
    <t>LimType</t>
  </si>
  <si>
    <t>Attribute</t>
  </si>
  <si>
    <t>Pset_Set</t>
  </si>
  <si>
    <t>Pset_PN</t>
  </si>
  <si>
    <t>Pset_CI</t>
  </si>
  <si>
    <t>Pset_CO</t>
  </si>
  <si>
    <t>Cset_Set</t>
  </si>
  <si>
    <t>Cset_CN</t>
  </si>
  <si>
    <t>Cset_CD</t>
  </si>
  <si>
    <t>Pset_PD</t>
  </si>
  <si>
    <t>~ImpSettings</t>
  </si>
  <si>
    <t>Option</t>
  </si>
  <si>
    <t>Value</t>
  </si>
  <si>
    <t>Check #DIV/0 and #REF errors in Templates</t>
  </si>
  <si>
    <t>Create Dummy Imports for Energy and Material Commodities</t>
  </si>
  <si>
    <t>Create Dummy Imports for Demands</t>
  </si>
  <si>
    <t>Generate Vintage Bounds</t>
  </si>
  <si>
    <t>~StartYear</t>
  </si>
  <si>
    <t>~ActivePDef</t>
  </si>
  <si>
    <t>Pdef-1</t>
  </si>
  <si>
    <t>* Define the explicit commodity groups needed</t>
  </si>
  <si>
    <t>\I:Commodity Group Name</t>
  </si>
  <si>
    <t>Commodity Group Description</t>
  </si>
  <si>
    <t>Dummy Imp Prices</t>
  </si>
  <si>
    <t>*Set a default price or apply a factor for those IMPorts with "Z" in the name.</t>
  </si>
  <si>
    <t>Discount</t>
  </si>
  <si>
    <t>* Define constants for the model</t>
  </si>
  <si>
    <t>~Currencies</t>
  </si>
  <si>
    <t>Currency</t>
  </si>
  <si>
    <t>~DefUnits</t>
  </si>
  <si>
    <t>Process_ActUnit</t>
  </si>
  <si>
    <t>Process_CapUnit</t>
  </si>
  <si>
    <t>Commodity_Unit</t>
  </si>
  <si>
    <t>REG1</t>
  </si>
  <si>
    <t>YRFR</t>
  </si>
  <si>
    <t>G_DYEAR</t>
  </si>
  <si>
    <t>PRI</t>
  </si>
  <si>
    <t>REG2</t>
  </si>
  <si>
    <t>DumVarforUC</t>
  </si>
  <si>
    <t>REG</t>
  </si>
  <si>
    <t>~TFM_MIG</t>
  </si>
  <si>
    <t>Year2</t>
  </si>
  <si>
    <t>ETH</t>
  </si>
  <si>
    <t>D</t>
  </si>
  <si>
    <t>W</t>
  </si>
  <si>
    <t>TH$2022</t>
  </si>
  <si>
    <t>* Wet Season (W(June 08 to September 05</t>
  </si>
  <si>
    <t>_01</t>
  </si>
  <si>
    <t>_02</t>
  </si>
  <si>
    <t>_03</t>
  </si>
  <si>
    <t>_04</t>
  </si>
  <si>
    <t>_05</t>
  </si>
  <si>
    <t>_06</t>
  </si>
  <si>
    <t>_07</t>
  </si>
  <si>
    <t>_08</t>
  </si>
  <si>
    <t>_09</t>
  </si>
  <si>
    <t>_10</t>
  </si>
  <si>
    <t>_11</t>
  </si>
  <si>
    <t>_12</t>
  </si>
  <si>
    <t>_13</t>
  </si>
  <si>
    <t>_14</t>
  </si>
  <si>
    <t>_15</t>
  </si>
  <si>
    <t>_16</t>
  </si>
  <si>
    <t>_17</t>
  </si>
  <si>
    <t>_18</t>
  </si>
  <si>
    <t>_19</t>
  </si>
  <si>
    <t>_20</t>
  </si>
  <si>
    <t>_21</t>
  </si>
  <si>
    <t>_22</t>
  </si>
  <si>
    <t>_23</t>
  </si>
  <si>
    <t>_24</t>
  </si>
  <si>
    <t>_25</t>
  </si>
  <si>
    <t>_26</t>
  </si>
  <si>
    <t>~Milestoneyears</t>
  </si>
  <si>
    <t>type</t>
  </si>
  <si>
    <t>milestoneyear</t>
  </si>
  <si>
    <t>endyear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</si>
  <si>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</si>
  <si>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</si>
  <si>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</si>
  <si>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</si>
  <si>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</si>
  <si>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</si>
  <si>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</si>
  <si>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</si>
  <si>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</si>
  <si>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</si>
  <si>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</si>
  <si>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</si>
  <si>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</si>
  <si>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</si>
  <si>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</si>
  <si>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</si>
  <si>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</si>
  <si>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</si>
  <si>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</si>
  <si>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</si>
  <si>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</si>
  <si>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</si>
  <si>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</si>
  <si>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</si>
  <si>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</si>
  <si>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</si>
  <si>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</si>
  <si>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</si>
  <si>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</si>
  <si>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</si>
  <si>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</si>
  <si>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</si>
  <si>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</si>
  <si>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</si>
  <si>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</si>
  <si>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</si>
  <si>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</si>
  <si>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</si>
  <si>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</si>
  <si>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</si>
  <si>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</si>
  <si>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</si>
  <si>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</si>
  <si>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</si>
  <si>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</si>
  <si>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</si>
  <si>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</si>
  <si>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</si>
  <si>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GWh</t>
  </si>
  <si>
    <t>MW</t>
  </si>
  <si>
    <t>UP</t>
  </si>
  <si>
    <t>ACT_BND</t>
  </si>
  <si>
    <t>Share-O</t>
  </si>
  <si>
    <t>Share-I</t>
  </si>
  <si>
    <t>msy09/2050</t>
  </si>
  <si>
    <t>Year</t>
  </si>
  <si>
    <t>~TFM_UPD</t>
  </si>
  <si>
    <t>NCAP_BND</t>
  </si>
  <si>
    <t>UP,LO</t>
  </si>
  <si>
    <t>FX</t>
  </si>
  <si>
    <t>ELCGRID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</si>
</sst>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name val="Arial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sz val="10"/>
      <name val="Courier"/>
      <family val="3"/>
    </font>
    <font>
      <sz val="12"/>
      <color indexed="53"/>
      <name val="Arial"/>
      <family val="2"/>
    </font>
    <font>
      <sz val="14"/>
      <color indexed="9"/>
      <name val="Arial"/>
      <family val="2"/>
    </font>
    <font>
      <b/>
      <sz val="10"/>
      <color rgb="FF0000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5" fillId="0" borderId="0"/>
    <xf numFmtId="0" fontId="5" fillId="0" borderId="0"/>
    <xf numFmtId="0" fontId="8" fillId="0" borderId="0"/>
    <xf numFmtId="0" fontId="5" fillId="0" borderId="0"/>
  </cellStyleXfs>
  <cellXfs count="28">
    <xf numFmtId="0" fontId="0" fillId="0" borderId="0" xfId="0"/>
    <xf numFmtId="0" fontId="2" fillId="0" borderId="0" xfId="0" applyFont="1"/>
    <xf numFmtId="0" fontId="1" fillId="2" borderId="0" xfId="0" applyFont="1" applyFill="1"/>
    <xf numFmtId="0" fontId="1" fillId="0" borderId="0" xfId="0" applyFont="1"/>
    <xf numFmtId="0" fontId="0" fillId="3" borderId="0" xfId="0" applyFill="1"/>
    <xf numFmtId="0" fontId="5" fillId="4" borderId="1" xfId="0" applyFont="1" applyFill="1" applyBorder="1"/>
    <xf numFmtId="0" fontId="9" fillId="0" borderId="0" xfId="0" applyFont="1"/>
    <xf numFmtId="0" fontId="6" fillId="0" borderId="0" xfId="0" applyFont="1"/>
    <xf numFmtId="0" fontId="10" fillId="5" borderId="0" xfId="0" applyFont="1" applyFill="1" applyAlignment="1">
      <alignment horizontal="left"/>
    </xf>
    <xf numFmtId="0" fontId="1" fillId="6" borderId="1" xfId="1" applyFont="1" applyFill="1" applyBorder="1" applyAlignment="1">
      <alignment horizontal="center" wrapText="1"/>
    </xf>
    <xf numFmtId="0" fontId="2" fillId="0" borderId="0" xfId="1" applyFont="1"/>
    <xf numFmtId="0" fontId="5" fillId="0" borderId="0" xfId="1"/>
    <xf numFmtId="0" fontId="0" fillId="2" borderId="1" xfId="0" applyFill="1" applyBorder="1"/>
    <xf numFmtId="0" fontId="11" fillId="0" borderId="0" xfId="0" applyFont="1"/>
    <xf numFmtId="0" fontId="1" fillId="7" borderId="2" xfId="0" applyFont="1" applyFill="1" applyBorder="1"/>
    <xf numFmtId="0" fontId="0" fillId="8" borderId="0" xfId="0" applyFill="1"/>
    <xf numFmtId="0" fontId="5" fillId="0" borderId="0" xfId="0" applyFont="1"/>
    <xf numFmtId="2" fontId="5" fillId="0" borderId="0" xfId="1" applyNumberFormat="1"/>
    <xf numFmtId="0" fontId="5" fillId="9" borderId="1" xfId="0" applyFont="1" applyFill="1" applyBorder="1"/>
    <xf numFmtId="0" fontId="1" fillId="7" borderId="3" xfId="0" applyFont="1" applyFill="1" applyBorder="1"/>
    <xf numFmtId="0" fontId="5" fillId="8" borderId="0" xfId="0" applyFont="1" applyFill="1"/>
    <xf numFmtId="0" fontId="5" fillId="3" borderId="0" xfId="0" applyFont="1" applyFill="1"/>
    <xf numFmtId="0" fontId="1" fillId="7" borderId="4" xfId="0" applyFont="1" applyFill="1" applyBorder="1"/>
    <xf numFmtId="0" fontId="1" fillId="7" borderId="0" xfId="0" applyFont="1" applyFill="1"/>
    <xf numFmtId="0" fontId="0" fillId="0" borderId="0" xfId="0" applyAlignment="1">
      <alignment horizontal="center"/>
    </xf>
    <xf numFmtId="0" fontId="5" fillId="4" borderId="0" xfId="0" applyFont="1" applyFill="1" applyBorder="1"/>
    <xf numFmtId="0" fontId="0" fillId="10" borderId="0" xfId="0" applyFill="1"/>
    <xf numFmtId="0" fontId="5" fillId="10" borderId="0" xfId="0" applyFont="1" applyFill="1"/>
  </cellXfs>
  <cellStyles count="5">
    <cellStyle name="Normal" xfId="0" builtinId="0"/>
    <cellStyle name="Normal 10" xfId="1" xr:uid="{00000000-0005-0000-0000-000001000000}"/>
    <cellStyle name="Normal 2" xfId="2" xr:uid="{00000000-0005-0000-0000-000002000000}"/>
    <cellStyle name="Normale_B2020" xfId="3" xr:uid="{00000000-0005-0000-0000-000003000000}"/>
    <cellStyle name="Standard_Sce_D_Extraction" xfId="4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11</xdr:row>
      <xdr:rowOff>38100</xdr:rowOff>
    </xdr:from>
    <xdr:to>
      <xdr:col>5</xdr:col>
      <xdr:colOff>485775</xdr:colOff>
      <xdr:row>18</xdr:row>
      <xdr:rowOff>108640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57AC39D-F00A-4172-98CF-BF3BF1F49F3D}"/>
            </a:ext>
          </a:extLst>
        </xdr:cNvPr>
        <xdr:cNvSpPr txBox="1"/>
      </xdr:nvSpPr>
      <xdr:spPr>
        <a:xfrm>
          <a:off x="57150" y="1819275"/>
          <a:ext cx="4038600" cy="12096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~BookRegions_Map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is used to define: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workbook name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(cells B5 and B6);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the name must be the same for each base year template workbook  VT_REG1_&lt;sector&gt;_&lt;version&gt; (for REG1);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the list of region names (cell E5,6,,...) maps the names used in the B-Y templates to the model regions:  in this case REG1 and REG2.</a:t>
          </a: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581024</xdr:colOff>
      <xdr:row>9</xdr:row>
      <xdr:rowOff>9525</xdr:rowOff>
    </xdr:from>
    <xdr:to>
      <xdr:col>10</xdr:col>
      <xdr:colOff>152399</xdr:colOff>
      <xdr:row>14</xdr:row>
      <xdr:rowOff>47625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46EA28F-ED80-43A2-80B0-121C17FBF1CC}"/>
            </a:ext>
          </a:extLst>
        </xdr:cNvPr>
        <xdr:cNvSpPr txBox="1"/>
      </xdr:nvSpPr>
      <xdr:spPr>
        <a:xfrm>
          <a:off x="4800599" y="1466850"/>
          <a:ext cx="3362325" cy="8477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~TimeSlices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the time-slices resolution for the model, by declaring the elements of each time-slice. In the column-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SEASON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WEEKLY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DAYNITE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32384</xdr:colOff>
      <xdr:row>4</xdr:row>
      <xdr:rowOff>41909</xdr:rowOff>
    </xdr:from>
    <xdr:to>
      <xdr:col>16</xdr:col>
      <xdr:colOff>291465</xdr:colOff>
      <xdr:row>19</xdr:row>
      <xdr:rowOff>5722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585EBF5-19B2-4F27-A005-558624CC7A4D}"/>
            </a:ext>
          </a:extLst>
        </xdr:cNvPr>
        <xdr:cNvSpPr txBox="1"/>
      </xdr:nvSpPr>
      <xdr:spPr>
        <a:xfrm>
          <a:off x="6280784" y="712469"/>
          <a:ext cx="6560821" cy="196786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~StartYear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start year of the model (2005);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~ActivePDef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set of active periods.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Alternate period definitions can be made and the active one is declared under the tag</a:t>
          </a: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~ActiveDef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~TimePeriods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time horizon of the model for the ActivePdef.  In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this example two period definitions (Pdef-1 and Pdef-5)</a:t>
          </a: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For Pdef-1 the number of years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the start year (first period is 1 year long), the second period has 2 years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6</xdr:col>
      <xdr:colOff>9525</xdr:colOff>
      <xdr:row>20</xdr:row>
      <xdr:rowOff>118186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6A87FCC-B6FC-4E0D-89C3-A8DBA236C214}"/>
            </a:ext>
          </a:extLst>
        </xdr:cNvPr>
        <xdr:cNvSpPr txBox="1"/>
      </xdr:nvSpPr>
      <xdr:spPr>
        <a:xfrm>
          <a:off x="161925" y="1943100"/>
          <a:ext cx="5962650" cy="14192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~ImpSettings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some settings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for the synchronization process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Dummy Imports: one can control the creation of dummy imports in the table shown above.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These backstop dummy processes are introduced in the model in order to avoid infeasibilities that may arise if not enough energy carrier or demand can be supplied.</a:t>
          </a:r>
          <a:endParaRPr lang="en-GB">
            <a:effectLst/>
          </a:endParaRPr>
        </a:p>
        <a:p>
          <a:pPr lvl="0"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Vintage Bounds: VEDA can automatically generate bounds to prohibit investments in processes when a newer vintage becomes available, assuming that the last two characters of the process name are used for the first year of availability . 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9525</xdr:colOff>
      <xdr:row>1</xdr:row>
      <xdr:rowOff>9525</xdr:rowOff>
    </xdr:from>
    <xdr:to>
      <xdr:col>20</xdr:col>
      <xdr:colOff>476250</xdr:colOff>
      <xdr:row>23</xdr:row>
      <xdr:rowOff>114300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250CDD2-5FEF-4FCD-A826-306889E4ED0A}"/>
            </a:ext>
          </a:extLst>
        </xdr:cNvPr>
        <xdr:cNvSpPr txBox="1"/>
      </xdr:nvSpPr>
      <xdr:spPr>
        <a:xfrm>
          <a:off x="6715125" y="171450"/>
          <a:ext cx="5953125" cy="25336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~TFM_UPD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declare a table in SysSetting (and/or scenario file and/or _Trans files)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which is a simple transformation to pre-existing data in a rule-based manner.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this case case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the 1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deals with setting the default interpolation rules (indicated by the 0 in the Yr column) for  the parameter defined in the column attribute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all the processes  defined in the model.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2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sets default prices (ACTCOST) for the “backstop” options for fuels (dummy IMPort technologies ending with “Z”) and demands (a dummy IMPDEMZ process that can feed any demand).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0</xdr:col>
      <xdr:colOff>180975</xdr:colOff>
      <xdr:row>15</xdr:row>
      <xdr:rowOff>133350</xdr:rowOff>
    </xdr:from>
    <xdr:ext cx="6134100" cy="2943225"/>
    <xdr:pic>
      <xdr:nvPicPr>
        <xdr:cNvPr id="3" name="Picture 2">
          <a:extLst>
            <a:ext uri="{FF2B5EF4-FFF2-40B4-BE49-F238E27FC236}">
              <a16:creationId xmlns:a16="http://schemas.microsoft.com/office/drawing/2014/main" id="{4FEB2A17-C0E1-4917-8185-BA41450B4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" y="1428750"/>
          <a:ext cx="6134100" cy="2943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2539</xdr:colOff>
      <xdr:row>4</xdr:row>
      <xdr:rowOff>31753</xdr:rowOff>
    </xdr:from>
    <xdr:to>
      <xdr:col>20</xdr:col>
      <xdr:colOff>74089</xdr:colOff>
      <xdr:row>20</xdr:row>
      <xdr:rowOff>79211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80CC42C-7A4C-4796-B249-E732DF3AB035}"/>
            </a:ext>
          </a:extLst>
        </xdr:cNvPr>
        <xdr:cNvSpPr txBox="1"/>
      </xdr:nvSpPr>
      <xdr:spPr>
        <a:xfrm>
          <a:off x="6932082" y="698503"/>
          <a:ext cx="6212417" cy="2307164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9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~TFM_INS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(transformation insert table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to assign an absolute value for parameters that are based on rules.</a:t>
          </a:r>
        </a:p>
        <a:p>
          <a:pPr>
            <a:lnSpc>
              <a:spcPts val="9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pPr lvl="0">
            <a:lnSpc>
              <a:spcPts val="9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a reserved word indicating that a VEDA-TIMES parameter names appear in this column; in this example these parameters are G_DYEAR (discounting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year),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DISCOUNT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(overall discount rate) 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YRFR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(fraction of year for season and dayniote level. There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are four timeslice because it is the combination of the seasonal timeslice with the daynite timeslice)</a:t>
          </a: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TIMESLICE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indicating the particular time-slice for which data is provided.</a:t>
          </a: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information see Transformation tables, Insert Value section at www.kanors.com/vedasupport.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full description of the time-slices is given in paragraph 3.2.1.1.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17</xdr:col>
      <xdr:colOff>476250</xdr:colOff>
      <xdr:row>9</xdr:row>
      <xdr:rowOff>28575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F3832E1-1640-4C59-A37A-44822B91D299}"/>
            </a:ext>
          </a:extLst>
        </xdr:cNvPr>
        <xdr:cNvSpPr txBox="1"/>
      </xdr:nvSpPr>
      <xdr:spPr>
        <a:xfrm>
          <a:off x="5476875" y="323850"/>
          <a:ext cx="5962650" cy="11715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~Currencies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:</a:t>
          </a:r>
        </a:p>
        <a:p>
          <a:pPr lvl="0"/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a default currency for the whole model</a:t>
          </a:r>
        </a:p>
        <a:p>
          <a:pPr lvl="0"/>
          <a:endParaRPr lang="en-GB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~DefUnits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used :</a:t>
          </a:r>
        </a:p>
        <a:p>
          <a:pPr lvl="0"/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default units by activity, capacity and commodity for each sector in the model</a:t>
          </a:r>
          <a:endParaRPr lang="en-GB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J30"/>
  <sheetViews>
    <sheetView zoomScaleNormal="100" workbookViewId="0">
      <selection activeCell="J4" sqref="J4"/>
    </sheetView>
  </sheetViews>
  <sheetFormatPr defaultRowHeight="12.5" x14ac:dyDescent="0.25"/>
  <cols>
    <col min="1" max="1" width="2.1796875" customWidth="1"/>
    <col min="2" max="2" width="19.1796875" bestFit="1" customWidth="1"/>
    <col min="3" max="3" width="14.54296875" customWidth="1"/>
    <col min="8" max="8" width="29.453125" customWidth="1"/>
  </cols>
  <sheetData>
    <row r="3" spans="2:10" ht="13" x14ac:dyDescent="0.3">
      <c r="B3" s="1" t="s">
        <v>9</v>
      </c>
      <c r="H3" s="1" t="s">
        <v>10</v>
      </c>
      <c r="I3" s="3"/>
      <c r="J3" s="3"/>
    </row>
    <row r="4" spans="2:10" ht="13" x14ac:dyDescent="0.3">
      <c r="B4" s="2" t="s">
        <v>14</v>
      </c>
      <c r="C4" s="2" t="s">
        <v>15</v>
      </c>
      <c r="H4" s="2" t="s">
        <v>11</v>
      </c>
      <c r="I4" s="2" t="s">
        <v>12</v>
      </c>
      <c r="J4" s="2" t="s">
        <v>13</v>
      </c>
    </row>
    <row r="5" spans="2:10" x14ac:dyDescent="0.25">
      <c r="B5" s="16" t="s">
        <v>58</v>
      </c>
      <c r="C5" s="4" t="s">
        <v>61</v>
      </c>
      <c r="H5" s="21" t="s">
        <v>63</v>
      </c>
      <c r="J5" t="s">
        <v>66</v>
      </c>
    </row>
    <row r="6" spans="2:10" x14ac:dyDescent="0.25">
      <c r="H6" t="s">
        <v>62</v>
      </c>
      <c r="J6" t="s">
        <v>67</v>
      </c>
    </row>
    <row r="7" spans="2:10" x14ac:dyDescent="0.25">
      <c r="J7" t="s">
        <v>68</v>
      </c>
    </row>
    <row r="8" spans="2:10" x14ac:dyDescent="0.25">
      <c r="J8" t="s">
        <v>69</v>
      </c>
    </row>
    <row r="9" spans="2:10" x14ac:dyDescent="0.25">
      <c r="J9" t="s">
        <v>70</v>
      </c>
    </row>
    <row r="10" spans="2:10" x14ac:dyDescent="0.25">
      <c r="J10" t="s">
        <v>71</v>
      </c>
    </row>
    <row r="11" spans="2:10" x14ac:dyDescent="0.25">
      <c r="J11" t="s">
        <v>72</v>
      </c>
    </row>
    <row r="12" spans="2:10" x14ac:dyDescent="0.25">
      <c r="J12" t="s">
        <v>73</v>
      </c>
    </row>
    <row r="13" spans="2:10" x14ac:dyDescent="0.25">
      <c r="J13" t="s">
        <v>74</v>
      </c>
    </row>
    <row r="14" spans="2:10" x14ac:dyDescent="0.25">
      <c r="J14" t="s">
        <v>75</v>
      </c>
    </row>
    <row r="15" spans="2:10" x14ac:dyDescent="0.25">
      <c r="J15" t="s">
        <v>76</v>
      </c>
    </row>
    <row r="16" spans="2:10" x14ac:dyDescent="0.25">
      <c r="J16" t="s">
        <v>77</v>
      </c>
    </row>
    <row r="17" spans="10:10" x14ac:dyDescent="0.25">
      <c r="J17" t="s">
        <v>78</v>
      </c>
    </row>
    <row r="18" spans="10:10" x14ac:dyDescent="0.25">
      <c r="J18" t="s">
        <v>79</v>
      </c>
    </row>
    <row r="19" spans="10:10" x14ac:dyDescent="0.25">
      <c r="J19" t="s">
        <v>80</v>
      </c>
    </row>
    <row r="20" spans="10:10" x14ac:dyDescent="0.25">
      <c r="J20" t="s">
        <v>81</v>
      </c>
    </row>
    <row r="21" spans="10:10" x14ac:dyDescent="0.25">
      <c r="J21" t="s">
        <v>82</v>
      </c>
    </row>
    <row r="22" spans="10:10" x14ac:dyDescent="0.25">
      <c r="J22" t="s">
        <v>83</v>
      </c>
    </row>
    <row r="23" spans="10:10" x14ac:dyDescent="0.25">
      <c r="J23" t="s">
        <v>84</v>
      </c>
    </row>
    <row r="24" spans="10:10" x14ac:dyDescent="0.25">
      <c r="J24" t="s">
        <v>85</v>
      </c>
    </row>
    <row r="25" spans="10:10" x14ac:dyDescent="0.25">
      <c r="J25" t="s">
        <v>86</v>
      </c>
    </row>
    <row r="26" spans="10:10" x14ac:dyDescent="0.25">
      <c r="J26" t="s">
        <v>87</v>
      </c>
    </row>
    <row r="27" spans="10:10" x14ac:dyDescent="0.25">
      <c r="J27" t="s">
        <v>88</v>
      </c>
    </row>
    <row r="28" spans="10:10" x14ac:dyDescent="0.25">
      <c r="J28" t="s">
        <v>89</v>
      </c>
    </row>
    <row r="29" spans="10:10" x14ac:dyDescent="0.25">
      <c r="J29" t="s">
        <v>90</v>
      </c>
    </row>
    <row r="30" spans="10:10" x14ac:dyDescent="0.25">
      <c r="J30" t="s">
        <v>91</v>
      </c>
    </row>
  </sheetData>
  <phoneticPr fontId="4" type="noConversion"/>
  <pageMargins left="0.75" right="0.75" top="1" bottom="1" header="0.5" footer="0.5"/>
  <pageSetup orientation="portrait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D22"/>
  <sheetViews>
    <sheetView zoomScaleNormal="100" workbookViewId="0">
      <selection activeCell="C14" sqref="C14"/>
    </sheetView>
  </sheetViews>
  <sheetFormatPr defaultRowHeight="12.5" x14ac:dyDescent="0.25"/>
  <cols>
    <col min="2" max="3" width="16.81640625" customWidth="1"/>
    <col min="4" max="4" width="17.81640625" bestFit="1" customWidth="1"/>
    <col min="5" max="5" width="8.7265625" bestFit="1" customWidth="1"/>
    <col min="7" max="7" width="11.81640625" bestFit="1" customWidth="1"/>
  </cols>
  <sheetData>
    <row r="3" spans="2:4" ht="13" x14ac:dyDescent="0.3">
      <c r="B3" s="13" t="s">
        <v>36</v>
      </c>
      <c r="C3" s="13"/>
    </row>
    <row r="4" spans="2:4" x14ac:dyDescent="0.25">
      <c r="B4">
        <v>2022</v>
      </c>
    </row>
    <row r="7" spans="2:4" ht="13" x14ac:dyDescent="0.3">
      <c r="B7" s="13" t="s">
        <v>37</v>
      </c>
      <c r="C7" s="13"/>
    </row>
    <row r="8" spans="2:4" x14ac:dyDescent="0.25">
      <c r="B8" t="s">
        <v>38</v>
      </c>
    </row>
    <row r="13" spans="2:4" ht="13" x14ac:dyDescent="0.3">
      <c r="B13" s="13" t="s">
        <v>92</v>
      </c>
      <c r="C13" s="13"/>
    </row>
    <row r="14" spans="2:4" ht="13" x14ac:dyDescent="0.3">
      <c r="B14" s="22" t="s">
        <v>93</v>
      </c>
      <c r="C14" s="23" t="s">
        <v>150</v>
      </c>
      <c r="D14" s="24"/>
    </row>
    <row r="15" spans="2:4" ht="13" x14ac:dyDescent="0.3">
      <c r="B15" s="23" t="s">
        <v>95</v>
      </c>
      <c r="C15" s="23"/>
      <c r="D15" s="24"/>
    </row>
    <row r="16" spans="2:4" x14ac:dyDescent="0.25">
      <c r="B16" s="15" t="s">
        <v>94</v>
      </c>
      <c r="C16" s="15">
        <v>2022</v>
      </c>
    </row>
    <row r="17" spans="2:3" x14ac:dyDescent="0.25">
      <c r="B17" s="15" t="s">
        <v>94</v>
      </c>
      <c r="C17">
        <v>2025</v>
      </c>
    </row>
    <row r="18" spans="2:3" x14ac:dyDescent="0.25">
      <c r="B18" s="15" t="s">
        <v>94</v>
      </c>
      <c r="C18">
        <v>2030</v>
      </c>
    </row>
    <row r="19" spans="2:3" x14ac:dyDescent="0.25">
      <c r="B19" s="15" t="s">
        <v>94</v>
      </c>
      <c r="C19">
        <v>2035</v>
      </c>
    </row>
    <row r="20" spans="2:3" x14ac:dyDescent="0.25">
      <c r="B20" s="15" t="s">
        <v>94</v>
      </c>
      <c r="C20">
        <v>2040</v>
      </c>
    </row>
    <row r="21" spans="2:3" x14ac:dyDescent="0.25">
      <c r="B21" s="15" t="s">
        <v>94</v>
      </c>
      <c r="C21">
        <v>2045</v>
      </c>
    </row>
    <row r="22" spans="2:3" x14ac:dyDescent="0.25">
      <c r="B22" s="15" t="s">
        <v>94</v>
      </c>
      <c r="C22">
        <v>2050</v>
      </c>
    </row>
  </sheetData>
  <phoneticPr fontId="4" type="noConversion"/>
  <pageMargins left="0.75" right="0.75" top="1" bottom="1" header="0.5" footer="0.5"/>
  <pageSetup orientation="portrait" horizontalDpi="300" verticalDpi="3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C9"/>
  <sheetViews>
    <sheetView zoomScaleNormal="100" workbookViewId="0">
      <selection activeCell="L20" sqref="L20"/>
    </sheetView>
  </sheetViews>
  <sheetFormatPr defaultRowHeight="12.5" x14ac:dyDescent="0.25"/>
  <cols>
    <col min="1" max="1" width="2.453125" customWidth="1"/>
    <col min="2" max="2" width="52.7265625" bestFit="1" customWidth="1"/>
  </cols>
  <sheetData>
    <row r="3" spans="2:3" ht="13" x14ac:dyDescent="0.3">
      <c r="B3" s="13" t="s">
        <v>29</v>
      </c>
    </row>
    <row r="4" spans="2:3" ht="13" x14ac:dyDescent="0.3">
      <c r="B4" s="14" t="s">
        <v>30</v>
      </c>
      <c r="C4" s="19" t="s">
        <v>31</v>
      </c>
    </row>
    <row r="5" spans="2:3" x14ac:dyDescent="0.25">
      <c r="B5" s="20" t="s">
        <v>32</v>
      </c>
      <c r="C5" s="20">
        <v>1</v>
      </c>
    </row>
    <row r="6" spans="2:3" x14ac:dyDescent="0.25">
      <c r="B6" s="15" t="s">
        <v>33</v>
      </c>
      <c r="C6" s="15">
        <v>1</v>
      </c>
    </row>
    <row r="7" spans="2:3" x14ac:dyDescent="0.25">
      <c r="B7" s="15" t="s">
        <v>34</v>
      </c>
      <c r="C7" s="15">
        <v>1</v>
      </c>
    </row>
    <row r="8" spans="2:3" x14ac:dyDescent="0.25">
      <c r="B8" s="15" t="s">
        <v>35</v>
      </c>
      <c r="C8" s="15">
        <v>0</v>
      </c>
    </row>
    <row r="9" spans="2:3" x14ac:dyDescent="0.25">
      <c r="B9" s="15" t="s">
        <v>57</v>
      </c>
      <c r="C9" s="15">
        <v>0</v>
      </c>
    </row>
  </sheetData>
  <phoneticPr fontId="4" type="noConversion"/>
  <pageMargins left="0.75" right="0.75" top="1" bottom="1" header="0.5" footer="0.5"/>
  <pageSetup orientation="portrait" verticalDpi="30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11A5-2377-4878-AD2C-E80254AFF82E}">
  <dimension ref="B3:Q43"/>
  <sheetViews>
    <sheetView tabSelected="1" zoomScaleNormal="100" workbookViewId="0">
      <selection activeCell="A6" sqref="A6:XFD11"/>
    </sheetView>
  </sheetViews>
  <sheetFormatPr defaultRowHeight="12.5" x14ac:dyDescent="0.25"/>
  <cols>
    <col min="1" max="1" width="2.81640625" customWidth="1"/>
    <col min="4" max="4" width="11" bestFit="1" customWidth="1"/>
    <col min="5" max="5" width="11.7265625" bestFit="1" customWidth="1"/>
    <col min="6" max="6" width="9.54296875" customWidth="1"/>
    <col min="7" max="7" width="10.7265625" bestFit="1" customWidth="1"/>
    <col min="8" max="9" width="10.7265625" customWidth="1"/>
    <col min="13" max="13" width="9.26953125" customWidth="1"/>
  </cols>
  <sheetData>
    <row r="3" spans="2:8" ht="13" x14ac:dyDescent="0.3">
      <c r="B3" s="1" t="s">
        <v>59</v>
      </c>
    </row>
    <row r="4" spans="2:8" ht="13" thickBot="1" x14ac:dyDescent="0.3">
      <c r="B4" s="5" t="s">
        <v>18</v>
      </c>
      <c r="C4" s="5" t="s">
        <v>19</v>
      </c>
      <c r="D4" s="5" t="s">
        <v>20</v>
      </c>
      <c r="E4" s="5" t="s">
        <v>60</v>
      </c>
      <c r="F4" s="5" t="s">
        <v>1</v>
      </c>
      <c r="G4" s="5" t="s">
        <v>22</v>
      </c>
      <c r="H4" s="25" t="s">
        <v>31</v>
      </c>
    </row>
    <row r="5" spans="2:8" x14ac:dyDescent="0.25">
      <c r="D5" t="s">
        <v>147</v>
      </c>
      <c r="E5">
        <v>1</v>
      </c>
      <c r="F5">
        <v>15</v>
      </c>
    </row>
    <row r="6" spans="2:8" s="26" customFormat="1" x14ac:dyDescent="0.25">
      <c r="C6" s="26" t="s">
        <v>146</v>
      </c>
      <c r="D6" s="27" t="s">
        <v>148</v>
      </c>
      <c r="E6" s="27">
        <v>2025</v>
      </c>
      <c r="F6" s="26">
        <v>15</v>
      </c>
      <c r="G6" s="27" t="s">
        <v>156</v>
      </c>
      <c r="H6" s="26">
        <v>1</v>
      </c>
    </row>
    <row r="7" spans="2:8" s="26" customFormat="1" x14ac:dyDescent="0.25">
      <c r="C7" s="27" t="s">
        <v>146</v>
      </c>
      <c r="D7" s="27" t="s">
        <v>148</v>
      </c>
      <c r="E7" s="27">
        <v>2030</v>
      </c>
      <c r="F7" s="26">
        <v>15</v>
      </c>
      <c r="G7" s="27" t="s">
        <v>156</v>
      </c>
      <c r="H7" s="26">
        <v>1</v>
      </c>
    </row>
    <row r="8" spans="2:8" s="26" customFormat="1" x14ac:dyDescent="0.25">
      <c r="C8" s="27" t="s">
        <v>146</v>
      </c>
      <c r="D8" s="27" t="s">
        <v>148</v>
      </c>
      <c r="E8" s="27">
        <v>2035</v>
      </c>
      <c r="F8" s="26">
        <v>15</v>
      </c>
      <c r="G8" s="27" t="s">
        <v>156</v>
      </c>
      <c r="H8" s="26">
        <v>1</v>
      </c>
    </row>
    <row r="9" spans="2:8" s="26" customFormat="1" x14ac:dyDescent="0.25">
      <c r="C9" s="27" t="s">
        <v>146</v>
      </c>
      <c r="D9" s="27" t="s">
        <v>148</v>
      </c>
      <c r="E9" s="27">
        <v>2040</v>
      </c>
      <c r="F9" s="26">
        <v>15</v>
      </c>
      <c r="G9" s="27" t="s">
        <v>156</v>
      </c>
      <c r="H9" s="26">
        <v>1</v>
      </c>
    </row>
    <row r="10" spans="2:8" s="26" customFormat="1" x14ac:dyDescent="0.25">
      <c r="C10" s="27" t="s">
        <v>146</v>
      </c>
      <c r="D10" s="27" t="s">
        <v>148</v>
      </c>
      <c r="E10" s="27">
        <v>2045</v>
      </c>
      <c r="F10" s="26">
        <v>15</v>
      </c>
      <c r="G10" s="27" t="s">
        <v>156</v>
      </c>
      <c r="H10" s="26">
        <v>1</v>
      </c>
    </row>
    <row r="11" spans="2:8" s="26" customFormat="1" x14ac:dyDescent="0.25">
      <c r="C11" s="27" t="s">
        <v>146</v>
      </c>
      <c r="D11" s="27" t="s">
        <v>148</v>
      </c>
      <c r="E11" s="27">
        <v>2050</v>
      </c>
      <c r="F11" s="26">
        <v>15</v>
      </c>
      <c r="G11" s="27" t="s">
        <v>156</v>
      </c>
      <c r="H11" s="26">
        <v>1</v>
      </c>
    </row>
    <row r="12" spans="2:8" x14ac:dyDescent="0.25">
      <c r="C12" t="s">
        <v>154</v>
      </c>
      <c r="D12" s="16" t="s">
        <v>149</v>
      </c>
      <c r="E12" s="16">
        <v>0</v>
      </c>
      <c r="F12">
        <v>15</v>
      </c>
    </row>
    <row r="13" spans="2:8" x14ac:dyDescent="0.25">
      <c r="C13" t="s">
        <v>154</v>
      </c>
      <c r="D13" s="16" t="s">
        <v>153</v>
      </c>
      <c r="E13" s="16">
        <v>0</v>
      </c>
      <c r="F13">
        <v>1</v>
      </c>
    </row>
    <row r="14" spans="2:8" x14ac:dyDescent="0.25">
      <c r="C14" t="s">
        <v>146</v>
      </c>
      <c r="D14" s="16" t="s">
        <v>147</v>
      </c>
      <c r="E14" s="16">
        <v>0</v>
      </c>
      <c r="F14">
        <v>15</v>
      </c>
    </row>
    <row r="15" spans="2:8" x14ac:dyDescent="0.25">
      <c r="C15" t="s">
        <v>155</v>
      </c>
      <c r="D15" s="16" t="s">
        <v>147</v>
      </c>
      <c r="E15" s="16">
        <v>0</v>
      </c>
      <c r="F15">
        <v>15</v>
      </c>
    </row>
    <row r="25" ht="19.5" customHeight="1" x14ac:dyDescent="0.25"/>
    <row r="26" ht="15.75" customHeight="1" x14ac:dyDescent="0.25"/>
    <row r="37" spans="2:17" ht="15.5" x14ac:dyDescent="0.35">
      <c r="B37" s="6" t="s">
        <v>43</v>
      </c>
    </row>
    <row r="39" spans="2:17" ht="17.5" x14ac:dyDescent="0.35">
      <c r="B39" s="8" t="s">
        <v>42</v>
      </c>
      <c r="C39" s="8"/>
      <c r="D39" s="8"/>
    </row>
    <row r="40" spans="2:17" ht="13" x14ac:dyDescent="0.3">
      <c r="B40" s="1" t="s">
        <v>152</v>
      </c>
    </row>
    <row r="41" spans="2:17" ht="13" thickBot="1" x14ac:dyDescent="0.3">
      <c r="B41" s="5" t="s">
        <v>18</v>
      </c>
      <c r="C41" s="5" t="s">
        <v>19</v>
      </c>
      <c r="D41" s="5" t="s">
        <v>20</v>
      </c>
      <c r="E41" s="5" t="s">
        <v>151</v>
      </c>
      <c r="F41" s="5" t="s">
        <v>2</v>
      </c>
      <c r="G41" s="5" t="s">
        <v>1</v>
      </c>
      <c r="H41" s="5" t="s">
        <v>52</v>
      </c>
      <c r="I41" s="5" t="s">
        <v>56</v>
      </c>
      <c r="J41" s="5" t="s">
        <v>21</v>
      </c>
      <c r="K41" s="5" t="s">
        <v>22</v>
      </c>
      <c r="L41" s="5" t="s">
        <v>28</v>
      </c>
      <c r="M41" s="5" t="s">
        <v>23</v>
      </c>
      <c r="N41" s="5" t="s">
        <v>24</v>
      </c>
      <c r="O41" s="5" t="s">
        <v>25</v>
      </c>
      <c r="P41" s="5" t="s">
        <v>26</v>
      </c>
      <c r="Q41" s="5" t="s">
        <v>27</v>
      </c>
    </row>
    <row r="42" spans="2:17" x14ac:dyDescent="0.25">
      <c r="D42" t="s">
        <v>3</v>
      </c>
      <c r="G42">
        <v>2222</v>
      </c>
      <c r="J42" t="s">
        <v>16</v>
      </c>
      <c r="K42" t="s">
        <v>0</v>
      </c>
    </row>
    <row r="43" spans="2:17" x14ac:dyDescent="0.25">
      <c r="D43" t="s">
        <v>3</v>
      </c>
      <c r="G43">
        <v>8888</v>
      </c>
      <c r="J43" t="s">
        <v>16</v>
      </c>
      <c r="K43" t="s">
        <v>4</v>
      </c>
    </row>
  </sheetData>
  <pageMargins left="0.75" right="0.75" top="1" bottom="1" header="0.5" footer="0.5"/>
  <pageSetup paperSize="9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G59"/>
  <sheetViews>
    <sheetView topLeftCell="A21" zoomScaleNormal="100" workbookViewId="0">
      <selection activeCell="E9" sqref="E9:E58"/>
    </sheetView>
  </sheetViews>
  <sheetFormatPr defaultColWidth="9.1796875" defaultRowHeight="12.5" x14ac:dyDescent="0.25"/>
  <cols>
    <col min="1" max="1" width="9.1796875" style="11"/>
    <col min="2" max="2" width="12.1796875" style="11" customWidth="1"/>
    <col min="3" max="3" width="10.81640625" style="11" customWidth="1"/>
    <col min="4" max="4" width="14" style="11" customWidth="1"/>
    <col min="5" max="5" width="10.453125" style="11" bestFit="1" customWidth="1"/>
    <col min="6" max="6" width="10.453125" style="11" customWidth="1"/>
    <col min="7" max="7" width="36.26953125" style="11" bestFit="1" customWidth="1"/>
    <col min="8" max="16384" width="9.1796875" style="11"/>
  </cols>
  <sheetData>
    <row r="3" spans="2:7" ht="15.5" x14ac:dyDescent="0.35">
      <c r="B3" s="6" t="s">
        <v>45</v>
      </c>
    </row>
    <row r="5" spans="2:7" ht="13" x14ac:dyDescent="0.3">
      <c r="B5" s="10" t="s">
        <v>17</v>
      </c>
    </row>
    <row r="6" spans="2:7" ht="13" thickBot="1" x14ac:dyDescent="0.3">
      <c r="B6" s="5" t="s">
        <v>18</v>
      </c>
      <c r="C6" s="5" t="s">
        <v>19</v>
      </c>
      <c r="D6" s="5" t="s">
        <v>20</v>
      </c>
      <c r="E6" s="5" t="s">
        <v>1</v>
      </c>
      <c r="F6" s="5" t="s">
        <v>52</v>
      </c>
      <c r="G6" s="5" t="s">
        <v>26</v>
      </c>
    </row>
    <row r="7" spans="2:7" x14ac:dyDescent="0.25">
      <c r="B7" s="11" t="s">
        <v>62</v>
      </c>
      <c r="D7" s="11" t="s">
        <v>54</v>
      </c>
      <c r="E7" s="11">
        <v>2022</v>
      </c>
    </row>
    <row r="8" spans="2:7" x14ac:dyDescent="0.25">
      <c r="D8" s="11" t="s">
        <v>44</v>
      </c>
      <c r="E8" s="11">
        <v>0.15</v>
      </c>
    </row>
    <row r="9" spans="2:7" x14ac:dyDescent="0.25">
      <c r="B9" s="11" t="s">
        <v>62</v>
      </c>
      <c r="D9" s="11" t="s">
        <v>53</v>
      </c>
      <c r="E9" s="11">
        <v>0.75</v>
      </c>
    </row>
    <row r="10" spans="2:7" x14ac:dyDescent="0.25">
      <c r="B10" s="11" t="s">
        <v>63</v>
      </c>
      <c r="D10" s="11" t="s">
        <v>53</v>
      </c>
      <c r="E10" s="11">
        <f>1-E9</f>
        <v>0.25</v>
      </c>
    </row>
    <row r="11" spans="2:7" x14ac:dyDescent="0.25">
      <c r="B11" s="11" t="s">
        <v>96</v>
      </c>
      <c r="D11" s="11" t="s">
        <v>53</v>
      </c>
      <c r="E11" s="17">
        <f>E$10/24</f>
        <v>1.0416666666666666E-2</v>
      </c>
      <c r="G11" s="11" t="s">
        <v>65</v>
      </c>
    </row>
    <row r="12" spans="2:7" x14ac:dyDescent="0.25">
      <c r="B12" s="11" t="s">
        <v>97</v>
      </c>
      <c r="D12" s="11" t="s">
        <v>53</v>
      </c>
      <c r="E12" s="17">
        <f t="shared" ref="E12:E34" si="0">E$10/24</f>
        <v>1.0416666666666666E-2</v>
      </c>
      <c r="F12" s="17"/>
    </row>
    <row r="13" spans="2:7" x14ac:dyDescent="0.25">
      <c r="B13" s="11" t="s">
        <v>98</v>
      </c>
      <c r="D13" s="11" t="s">
        <v>53</v>
      </c>
      <c r="E13" s="17">
        <f t="shared" si="0"/>
        <v>1.0416666666666666E-2</v>
      </c>
    </row>
    <row r="14" spans="2:7" x14ac:dyDescent="0.25">
      <c r="B14" s="11" t="s">
        <v>99</v>
      </c>
      <c r="D14" s="11" t="s">
        <v>53</v>
      </c>
      <c r="E14" s="17">
        <f t="shared" si="0"/>
        <v>1.0416666666666666E-2</v>
      </c>
    </row>
    <row r="15" spans="2:7" x14ac:dyDescent="0.25">
      <c r="B15" s="11" t="s">
        <v>100</v>
      </c>
      <c r="C15"/>
      <c r="D15" s="11" t="s">
        <v>53</v>
      </c>
      <c r="E15" s="17">
        <f t="shared" si="0"/>
        <v>1.0416666666666666E-2</v>
      </c>
      <c r="F15" s="17"/>
    </row>
    <row r="16" spans="2:7" x14ac:dyDescent="0.25">
      <c r="B16" s="11" t="s">
        <v>101</v>
      </c>
      <c r="C16"/>
      <c r="D16" s="11" t="s">
        <v>53</v>
      </c>
      <c r="E16" s="17">
        <f t="shared" si="0"/>
        <v>1.0416666666666666E-2</v>
      </c>
      <c r="F16" s="17"/>
    </row>
    <row r="17" spans="2:6" x14ac:dyDescent="0.25">
      <c r="B17" s="11" t="s">
        <v>102</v>
      </c>
      <c r="C17"/>
      <c r="D17" s="11" t="s">
        <v>53</v>
      </c>
      <c r="E17" s="17">
        <f t="shared" si="0"/>
        <v>1.0416666666666666E-2</v>
      </c>
      <c r="F17" s="17"/>
    </row>
    <row r="18" spans="2:6" x14ac:dyDescent="0.25">
      <c r="B18" s="11" t="s">
        <v>103</v>
      </c>
      <c r="C18"/>
      <c r="D18" s="11" t="s">
        <v>53</v>
      </c>
      <c r="E18" s="17">
        <f t="shared" si="0"/>
        <v>1.0416666666666666E-2</v>
      </c>
    </row>
    <row r="19" spans="2:6" x14ac:dyDescent="0.25">
      <c r="B19" s="11" t="s">
        <v>104</v>
      </c>
      <c r="C19"/>
      <c r="D19" s="11" t="s">
        <v>53</v>
      </c>
      <c r="E19" s="17">
        <f t="shared" si="0"/>
        <v>1.0416666666666666E-2</v>
      </c>
    </row>
    <row r="20" spans="2:6" x14ac:dyDescent="0.25">
      <c r="B20" s="11" t="s">
        <v>105</v>
      </c>
      <c r="C20"/>
      <c r="D20" s="11" t="s">
        <v>53</v>
      </c>
      <c r="E20" s="17">
        <f t="shared" si="0"/>
        <v>1.0416666666666666E-2</v>
      </c>
    </row>
    <row r="21" spans="2:6" x14ac:dyDescent="0.25">
      <c r="B21" s="11" t="s">
        <v>106</v>
      </c>
      <c r="C21"/>
      <c r="D21" s="11" t="s">
        <v>53</v>
      </c>
      <c r="E21" s="17">
        <f t="shared" si="0"/>
        <v>1.0416666666666666E-2</v>
      </c>
    </row>
    <row r="22" spans="2:6" x14ac:dyDescent="0.25">
      <c r="B22" s="11" t="s">
        <v>107</v>
      </c>
      <c r="C22"/>
      <c r="D22" s="11" t="s">
        <v>53</v>
      </c>
      <c r="E22" s="17">
        <f t="shared" si="0"/>
        <v>1.0416666666666666E-2</v>
      </c>
    </row>
    <row r="23" spans="2:6" x14ac:dyDescent="0.25">
      <c r="B23" s="11" t="s">
        <v>108</v>
      </c>
      <c r="C23"/>
      <c r="D23" s="11" t="s">
        <v>53</v>
      </c>
      <c r="E23" s="17">
        <f t="shared" si="0"/>
        <v>1.0416666666666666E-2</v>
      </c>
    </row>
    <row r="24" spans="2:6" x14ac:dyDescent="0.25">
      <c r="B24" s="11" t="s">
        <v>109</v>
      </c>
      <c r="C24"/>
      <c r="D24" s="11" t="s">
        <v>53</v>
      </c>
      <c r="E24" s="17">
        <f t="shared" si="0"/>
        <v>1.0416666666666666E-2</v>
      </c>
    </row>
    <row r="25" spans="2:6" x14ac:dyDescent="0.25">
      <c r="B25" s="11" t="s">
        <v>110</v>
      </c>
      <c r="C25"/>
      <c r="D25" s="11" t="s">
        <v>53</v>
      </c>
      <c r="E25" s="17">
        <f t="shared" si="0"/>
        <v>1.0416666666666666E-2</v>
      </c>
    </row>
    <row r="26" spans="2:6" x14ac:dyDescent="0.25">
      <c r="B26" s="11" t="s">
        <v>111</v>
      </c>
      <c r="C26"/>
      <c r="D26" s="11" t="s">
        <v>53</v>
      </c>
      <c r="E26" s="17">
        <f t="shared" si="0"/>
        <v>1.0416666666666666E-2</v>
      </c>
    </row>
    <row r="27" spans="2:6" x14ac:dyDescent="0.25">
      <c r="B27" s="11" t="s">
        <v>112</v>
      </c>
      <c r="C27"/>
      <c r="D27" s="11" t="s">
        <v>53</v>
      </c>
      <c r="E27" s="17">
        <f t="shared" si="0"/>
        <v>1.0416666666666666E-2</v>
      </c>
    </row>
    <row r="28" spans="2:6" x14ac:dyDescent="0.25">
      <c r="B28" s="11" t="s">
        <v>113</v>
      </c>
      <c r="C28"/>
      <c r="D28" s="11" t="s">
        <v>53</v>
      </c>
      <c r="E28" s="17">
        <f t="shared" si="0"/>
        <v>1.0416666666666666E-2</v>
      </c>
    </row>
    <row r="29" spans="2:6" x14ac:dyDescent="0.25">
      <c r="B29" s="11" t="s">
        <v>114</v>
      </c>
      <c r="C29"/>
      <c r="D29" s="11" t="s">
        <v>53</v>
      </c>
      <c r="E29" s="17">
        <f t="shared" si="0"/>
        <v>1.0416666666666666E-2</v>
      </c>
    </row>
    <row r="30" spans="2:6" x14ac:dyDescent="0.25">
      <c r="B30" s="11" t="s">
        <v>115</v>
      </c>
      <c r="C30"/>
      <c r="D30" s="11" t="s">
        <v>53</v>
      </c>
      <c r="E30" s="17">
        <f t="shared" si="0"/>
        <v>1.0416666666666666E-2</v>
      </c>
    </row>
    <row r="31" spans="2:6" x14ac:dyDescent="0.25">
      <c r="B31" s="11" t="s">
        <v>116</v>
      </c>
      <c r="C31"/>
      <c r="D31" s="11" t="s">
        <v>53</v>
      </c>
      <c r="E31" s="17">
        <f t="shared" si="0"/>
        <v>1.0416666666666666E-2</v>
      </c>
    </row>
    <row r="32" spans="2:6" x14ac:dyDescent="0.25">
      <c r="B32" s="11" t="s">
        <v>117</v>
      </c>
      <c r="C32"/>
      <c r="D32" s="11" t="s">
        <v>53</v>
      </c>
      <c r="E32" s="17">
        <f t="shared" si="0"/>
        <v>1.0416666666666666E-2</v>
      </c>
    </row>
    <row r="33" spans="2:5" x14ac:dyDescent="0.25">
      <c r="B33" s="11" t="s">
        <v>118</v>
      </c>
      <c r="C33"/>
      <c r="D33" s="11" t="s">
        <v>53</v>
      </c>
      <c r="E33" s="17">
        <f t="shared" si="0"/>
        <v>1.0416666666666666E-2</v>
      </c>
    </row>
    <row r="34" spans="2:5" x14ac:dyDescent="0.25">
      <c r="B34" s="11" t="s">
        <v>119</v>
      </c>
      <c r="C34"/>
      <c r="D34" s="11" t="s">
        <v>53</v>
      </c>
      <c r="E34" s="17">
        <f t="shared" si="0"/>
        <v>1.0416666666666666E-2</v>
      </c>
    </row>
    <row r="35" spans="2:5" x14ac:dyDescent="0.25">
      <c r="B35" s="11" t="s">
        <v>120</v>
      </c>
      <c r="C35"/>
      <c r="D35" s="11" t="s">
        <v>53</v>
      </c>
      <c r="E35" s="17">
        <f>E$9/24</f>
        <v>3.125E-2</v>
      </c>
    </row>
    <row r="36" spans="2:5" x14ac:dyDescent="0.25">
      <c r="B36" s="11" t="s">
        <v>121</v>
      </c>
      <c r="C36"/>
      <c r="D36" s="11" t="s">
        <v>53</v>
      </c>
      <c r="E36" s="17">
        <f t="shared" ref="E36:E58" si="1">E$9/24</f>
        <v>3.125E-2</v>
      </c>
    </row>
    <row r="37" spans="2:5" x14ac:dyDescent="0.25">
      <c r="B37" s="11" t="s">
        <v>122</v>
      </c>
      <c r="D37" s="11" t="s">
        <v>53</v>
      </c>
      <c r="E37" s="17">
        <f t="shared" si="1"/>
        <v>3.125E-2</v>
      </c>
    </row>
    <row r="38" spans="2:5" x14ac:dyDescent="0.25">
      <c r="B38" s="11" t="s">
        <v>123</v>
      </c>
      <c r="D38" s="11" t="s">
        <v>53</v>
      </c>
      <c r="E38" s="17">
        <f t="shared" si="1"/>
        <v>3.125E-2</v>
      </c>
    </row>
    <row r="39" spans="2:5" x14ac:dyDescent="0.25">
      <c r="B39" s="11" t="s">
        <v>124</v>
      </c>
      <c r="D39" s="11" t="s">
        <v>53</v>
      </c>
      <c r="E39" s="17">
        <f t="shared" si="1"/>
        <v>3.125E-2</v>
      </c>
    </row>
    <row r="40" spans="2:5" x14ac:dyDescent="0.25">
      <c r="B40" s="11" t="s">
        <v>125</v>
      </c>
      <c r="D40" s="11" t="s">
        <v>53</v>
      </c>
      <c r="E40" s="17">
        <f t="shared" si="1"/>
        <v>3.125E-2</v>
      </c>
    </row>
    <row r="41" spans="2:5" x14ac:dyDescent="0.25">
      <c r="B41" s="11" t="s">
        <v>126</v>
      </c>
      <c r="D41" s="11" t="s">
        <v>53</v>
      </c>
      <c r="E41" s="17">
        <f t="shared" si="1"/>
        <v>3.125E-2</v>
      </c>
    </row>
    <row r="42" spans="2:5" x14ac:dyDescent="0.25">
      <c r="B42" s="11" t="s">
        <v>127</v>
      </c>
      <c r="D42" s="11" t="s">
        <v>53</v>
      </c>
      <c r="E42" s="17">
        <f t="shared" si="1"/>
        <v>3.125E-2</v>
      </c>
    </row>
    <row r="43" spans="2:5" x14ac:dyDescent="0.25">
      <c r="B43" s="11" t="s">
        <v>128</v>
      </c>
      <c r="D43" s="11" t="s">
        <v>53</v>
      </c>
      <c r="E43" s="17">
        <f t="shared" si="1"/>
        <v>3.125E-2</v>
      </c>
    </row>
    <row r="44" spans="2:5" x14ac:dyDescent="0.25">
      <c r="B44" s="11" t="s">
        <v>129</v>
      </c>
      <c r="D44" s="11" t="s">
        <v>53</v>
      </c>
      <c r="E44" s="17">
        <f t="shared" si="1"/>
        <v>3.125E-2</v>
      </c>
    </row>
    <row r="45" spans="2:5" x14ac:dyDescent="0.25">
      <c r="B45" s="11" t="s">
        <v>130</v>
      </c>
      <c r="D45" s="11" t="s">
        <v>53</v>
      </c>
      <c r="E45" s="17">
        <f t="shared" si="1"/>
        <v>3.125E-2</v>
      </c>
    </row>
    <row r="46" spans="2:5" x14ac:dyDescent="0.25">
      <c r="B46" s="11" t="s">
        <v>131</v>
      </c>
      <c r="D46" s="11" t="s">
        <v>53</v>
      </c>
      <c r="E46" s="17">
        <f t="shared" si="1"/>
        <v>3.125E-2</v>
      </c>
    </row>
    <row r="47" spans="2:5" x14ac:dyDescent="0.25">
      <c r="B47" s="11" t="s">
        <v>132</v>
      </c>
      <c r="D47" s="11" t="s">
        <v>53</v>
      </c>
      <c r="E47" s="17">
        <f t="shared" si="1"/>
        <v>3.125E-2</v>
      </c>
    </row>
    <row r="48" spans="2:5" x14ac:dyDescent="0.25">
      <c r="B48" s="11" t="s">
        <v>133</v>
      </c>
      <c r="D48" s="11" t="s">
        <v>53</v>
      </c>
      <c r="E48" s="17">
        <f t="shared" si="1"/>
        <v>3.125E-2</v>
      </c>
    </row>
    <row r="49" spans="2:5" x14ac:dyDescent="0.25">
      <c r="B49" s="11" t="s">
        <v>134</v>
      </c>
      <c r="D49" s="11" t="s">
        <v>53</v>
      </c>
      <c r="E49" s="17">
        <f t="shared" si="1"/>
        <v>3.125E-2</v>
      </c>
    </row>
    <row r="50" spans="2:5" x14ac:dyDescent="0.25">
      <c r="B50" s="11" t="s">
        <v>135</v>
      </c>
      <c r="D50" s="11" t="s">
        <v>53</v>
      </c>
      <c r="E50" s="17">
        <f t="shared" si="1"/>
        <v>3.125E-2</v>
      </c>
    </row>
    <row r="51" spans="2:5" x14ac:dyDescent="0.25">
      <c r="B51" s="11" t="s">
        <v>136</v>
      </c>
      <c r="D51" s="11" t="s">
        <v>53</v>
      </c>
      <c r="E51" s="17">
        <f t="shared" si="1"/>
        <v>3.125E-2</v>
      </c>
    </row>
    <row r="52" spans="2:5" x14ac:dyDescent="0.25">
      <c r="B52" s="11" t="s">
        <v>137</v>
      </c>
      <c r="D52" s="11" t="s">
        <v>53</v>
      </c>
      <c r="E52" s="17">
        <f t="shared" si="1"/>
        <v>3.125E-2</v>
      </c>
    </row>
    <row r="53" spans="2:5" x14ac:dyDescent="0.25">
      <c r="B53" s="11" t="s">
        <v>138</v>
      </c>
      <c r="D53" s="11" t="s">
        <v>53</v>
      </c>
      <c r="E53" s="17">
        <f t="shared" si="1"/>
        <v>3.125E-2</v>
      </c>
    </row>
    <row r="54" spans="2:5" x14ac:dyDescent="0.25">
      <c r="B54" s="11" t="s">
        <v>139</v>
      </c>
      <c r="D54" s="11" t="s">
        <v>53</v>
      </c>
      <c r="E54" s="17">
        <f t="shared" si="1"/>
        <v>3.125E-2</v>
      </c>
    </row>
    <row r="55" spans="2:5" x14ac:dyDescent="0.25">
      <c r="B55" s="11" t="s">
        <v>140</v>
      </c>
      <c r="D55" s="11" t="s">
        <v>53</v>
      </c>
      <c r="E55" s="17">
        <f t="shared" si="1"/>
        <v>3.125E-2</v>
      </c>
    </row>
    <row r="56" spans="2:5" x14ac:dyDescent="0.25">
      <c r="B56" s="11" t="s">
        <v>141</v>
      </c>
      <c r="D56" s="11" t="s">
        <v>53</v>
      </c>
      <c r="E56" s="17">
        <f t="shared" si="1"/>
        <v>3.125E-2</v>
      </c>
    </row>
    <row r="57" spans="2:5" x14ac:dyDescent="0.25">
      <c r="B57" s="11" t="s">
        <v>142</v>
      </c>
      <c r="D57" s="11" t="s">
        <v>53</v>
      </c>
      <c r="E57" s="17">
        <f t="shared" si="1"/>
        <v>3.125E-2</v>
      </c>
    </row>
    <row r="58" spans="2:5" x14ac:dyDescent="0.25">
      <c r="B58" s="11" t="s">
        <v>143</v>
      </c>
      <c r="D58" s="11" t="s">
        <v>53</v>
      </c>
      <c r="E58" s="17">
        <f t="shared" si="1"/>
        <v>3.125E-2</v>
      </c>
    </row>
    <row r="59" spans="2:5" x14ac:dyDescent="0.25">
      <c r="E59" s="17"/>
    </row>
  </sheetData>
  <phoneticPr fontId="0" type="noConversion"/>
  <pageMargins left="0.7" right="0.7" top="0.75" bottom="0.75" header="0.3" footer="0.3"/>
  <pageSetup paperSize="9" orientation="portrait" horizontalDpi="300" verticalDpi="300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E6"/>
  <sheetViews>
    <sheetView workbookViewId="0">
      <selection activeCell="M21" sqref="M21"/>
    </sheetView>
  </sheetViews>
  <sheetFormatPr defaultRowHeight="12.5" x14ac:dyDescent="0.25"/>
  <cols>
    <col min="2" max="2" width="11.7265625" bestFit="1" customWidth="1"/>
    <col min="4" max="4" width="15.54296875" bestFit="1" customWidth="1"/>
  </cols>
  <sheetData>
    <row r="2" spans="2:5" ht="13" x14ac:dyDescent="0.3">
      <c r="B2" s="1" t="s">
        <v>46</v>
      </c>
      <c r="D2" s="1" t="s">
        <v>48</v>
      </c>
    </row>
    <row r="3" spans="2:5" ht="13" thickBot="1" x14ac:dyDescent="0.3">
      <c r="B3" s="12" t="s">
        <v>47</v>
      </c>
      <c r="D3" s="12" t="s">
        <v>30</v>
      </c>
      <c r="E3" s="18" t="s">
        <v>55</v>
      </c>
    </row>
    <row r="4" spans="2:5" x14ac:dyDescent="0.25">
      <c r="B4" s="16" t="s">
        <v>64</v>
      </c>
      <c r="D4" t="s">
        <v>49</v>
      </c>
      <c r="E4" s="16" t="s">
        <v>144</v>
      </c>
    </row>
    <row r="5" spans="2:5" x14ac:dyDescent="0.25">
      <c r="D5" t="s">
        <v>50</v>
      </c>
      <c r="E5" s="16" t="s">
        <v>145</v>
      </c>
    </row>
    <row r="6" spans="2:5" x14ac:dyDescent="0.25">
      <c r="D6" t="s">
        <v>51</v>
      </c>
      <c r="E6" t="s">
        <v>144</v>
      </c>
    </row>
  </sheetData>
  <phoneticPr fontId="0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H7"/>
  <sheetViews>
    <sheetView topLeftCell="A7" zoomScaleNormal="100" workbookViewId="0">
      <selection activeCell="C11" sqref="C11"/>
    </sheetView>
  </sheetViews>
  <sheetFormatPr defaultRowHeight="12.5" x14ac:dyDescent="0.25"/>
  <cols>
    <col min="1" max="1" width="3.1796875" customWidth="1"/>
    <col min="2" max="2" width="15.7265625" customWidth="1"/>
    <col min="3" max="3" width="18.26953125" customWidth="1"/>
    <col min="4" max="4" width="8.7265625" bestFit="1" customWidth="1"/>
    <col min="5" max="6" width="8.453125" bestFit="1" customWidth="1"/>
    <col min="7" max="8" width="11.26953125" customWidth="1"/>
    <col min="9" max="10" width="11.81640625" customWidth="1"/>
  </cols>
  <sheetData>
    <row r="2" spans="2:8" ht="15.5" x14ac:dyDescent="0.35">
      <c r="B2" s="6" t="s">
        <v>39</v>
      </c>
      <c r="C2" s="7"/>
      <c r="D2" s="7"/>
      <c r="E2" s="7"/>
      <c r="F2" s="7"/>
      <c r="G2" s="7"/>
      <c r="H2" s="7"/>
    </row>
    <row r="4" spans="2:8" ht="21" customHeight="1" x14ac:dyDescent="0.35">
      <c r="B4" s="8" t="s">
        <v>5</v>
      </c>
      <c r="C4" s="8"/>
      <c r="D4" s="8"/>
      <c r="E4" s="8"/>
      <c r="F4" s="8"/>
    </row>
    <row r="5" spans="2:8" ht="18" customHeight="1" x14ac:dyDescent="0.3">
      <c r="B5" s="1" t="s">
        <v>6</v>
      </c>
    </row>
    <row r="6" spans="2:8" ht="18.75" customHeight="1" thickBot="1" x14ac:dyDescent="0.3">
      <c r="B6" s="5" t="s">
        <v>7</v>
      </c>
      <c r="C6" s="5" t="s">
        <v>8</v>
      </c>
      <c r="D6" s="5" t="s">
        <v>25</v>
      </c>
      <c r="E6" s="5" t="s">
        <v>26</v>
      </c>
      <c r="F6" s="5" t="s">
        <v>27</v>
      </c>
      <c r="G6" s="5" t="s">
        <v>1</v>
      </c>
      <c r="H6" s="5" t="s">
        <v>61</v>
      </c>
    </row>
    <row r="7" spans="2:8" ht="26.5" thickBot="1" x14ac:dyDescent="0.35">
      <c r="B7" s="9" t="s">
        <v>40</v>
      </c>
      <c r="C7" s="9" t="s">
        <v>41</v>
      </c>
      <c r="D7" s="9"/>
      <c r="E7" s="9"/>
      <c r="F7" s="9"/>
      <c r="G7" s="9"/>
      <c r="H7" s="9"/>
    </row>
  </sheetData>
  <phoneticPr fontId="0" type="noConversion"/>
  <pageMargins left="0.75" right="0.75" top="1" bottom="1" header="0.5" footer="0.5"/>
  <pageSetup paperSize="9"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Region-Time Slices</vt:lpstr>
      <vt:lpstr>TimePeriods</vt:lpstr>
      <vt:lpstr>Import Settings</vt:lpstr>
      <vt:lpstr>Interpol_Extrapol_Defaults</vt:lpstr>
      <vt:lpstr>Constants</vt:lpstr>
      <vt:lpstr>Defaults</vt:lpstr>
      <vt:lpstr>Commodity Group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2001-09-28T20:39:50Z</cp:lastPrinted>
  <dcterms:created xsi:type="dcterms:W3CDTF">2001-09-28T18:48:17Z</dcterms:created>
  <dcterms:modified xsi:type="dcterms:W3CDTF">2025-11-12T23:17:49Z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329352974891662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2025-09-25T14:41:30Z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af702936-5490-4436-9d71-d34720e9188f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