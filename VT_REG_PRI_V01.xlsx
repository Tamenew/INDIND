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369BCFD9-4AE8-41CB-8EB5-0933F4DCBE7C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3" i="137"/>
  <c r="D24" i="137"/>
  <c r="D25" i="137"/>
  <c r="I23" i="137"/>
  <c r="E40" i="133"/>
  <c r="D39" i="133"/>
  <c r="D38" i="13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Q7" i="143"/>
  <c r="F2" i="143"/>
  <c r="E2" i="143"/>
  <c r="Q17" i="143"/>
  <c r="C2" i="143"/>
  <c r="P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O7" i="143"/>
  <c r="B8" i="146"/>
  <c r="D40" i="133"/>
  <c r="E47" i="133"/>
  <c r="K47" i="133"/>
  <c r="D25" i="144"/>
  <c r="K17" i="144"/>
  <c r="K25" i="144"/>
  <c r="K5" i="144"/>
  <c r="K8" i="144"/>
  <c r="Q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<sst xmlns="http://schemas.openxmlformats.org/spreadsheetml/2006/main" count="855" uniqueCount="453">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</sst>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516548</xdr:colOff>
      <xdr:row>30</xdr:row>
      <xdr:rowOff>65943</xdr:rowOff>
    </xdr:from>
    <xdr:to>
      <xdr:col>15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452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452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452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452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U36"/>
  <sheetViews>
    <sheetView tabSelected="1" zoomScale="118" zoomScaleNormal="118" workbookViewId="0">
      <selection activeCell="O26" sqref="O26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2" width="8.140625" style="91" customWidth="1"/>
    <col min="13" max="13" width="12.7109375" style="91" bestFit="1" customWidth="1"/>
    <col min="14" max="14" width="7.140625" style="91" customWidth="1"/>
    <col min="15" max="15" width="11.42578125" style="91" bestFit="1" customWidth="1"/>
    <col min="16" max="16" width="63.85546875" style="91" bestFit="1" customWidth="1"/>
    <col min="17" max="17" width="8.28515625" style="91" bestFit="1" customWidth="1"/>
    <col min="18" max="18" width="11.7109375" style="91" customWidth="1"/>
    <col min="19" max="19" width="13.42578125" style="91" customWidth="1"/>
    <col min="20" max="20" width="13.85546875" style="91" customWidth="1"/>
    <col min="21" max="21" width="8.42578125" style="91" customWidth="1"/>
    <col min="22" max="16384" width="8.85546875" style="91"/>
  </cols>
  <sheetData>
    <row r="1" spans="2:2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M2" s="92" t="s">
        <v>14</v>
      </c>
      <c r="N2" s="92"/>
      <c r="O2" s="93"/>
      <c r="P2" s="93"/>
      <c r="Q2" s="93"/>
      <c r="R2" s="93"/>
      <c r="S2" s="93"/>
      <c r="T2" s="93"/>
      <c r="U2" s="93"/>
    </row>
    <row r="3" spans="2:21" x14ac:dyDescent="0.2">
      <c r="M3" s="94" t="s">
        <v>7</v>
      </c>
      <c r="N3" s="95" t="s">
        <v>30</v>
      </c>
      <c r="O3" s="94" t="s">
        <v>0</v>
      </c>
      <c r="P3" s="94" t="s">
        <v>3</v>
      </c>
      <c r="Q3" s="94" t="s">
        <v>4</v>
      </c>
      <c r="R3" s="94" t="s">
        <v>8</v>
      </c>
      <c r="S3" s="94" t="s">
        <v>9</v>
      </c>
      <c r="T3" s="94" t="s">
        <v>10</v>
      </c>
      <c r="U3" s="94" t="s">
        <v>12</v>
      </c>
    </row>
    <row r="4" spans="2:21" ht="24" thickBot="1" x14ac:dyDescent="0.3">
      <c r="B4" s="53"/>
      <c r="C4" s="53"/>
      <c r="D4" s="53"/>
      <c r="E4" s="53"/>
      <c r="F4" s="53"/>
      <c r="G4" s="53"/>
      <c r="M4" s="96" t="s">
        <v>37</v>
      </c>
      <c r="N4" s="96" t="s">
        <v>31</v>
      </c>
      <c r="O4" s="96" t="s">
        <v>26</v>
      </c>
      <c r="P4" s="96" t="s">
        <v>27</v>
      </c>
      <c r="Q4" s="96" t="s">
        <v>4</v>
      </c>
      <c r="R4" s="96" t="s">
        <v>40</v>
      </c>
      <c r="S4" s="96" t="s">
        <v>41</v>
      </c>
      <c r="T4" s="96" t="s">
        <v>28</v>
      </c>
      <c r="U4" s="96" t="s">
        <v>29</v>
      </c>
    </row>
    <row r="5" spans="2:21" ht="15.75" x14ac:dyDescent="0.25">
      <c r="B5" s="53"/>
      <c r="C5" s="53"/>
      <c r="D5" s="53"/>
      <c r="E5" s="53"/>
      <c r="F5" s="53"/>
      <c r="G5" s="53"/>
      <c r="M5" s="93" t="s">
        <v>82</v>
      </c>
      <c r="N5" s="93"/>
      <c r="O5" s="93" t="s">
        <v>172</v>
      </c>
      <c r="P5" s="93" t="s">
        <v>173</v>
      </c>
      <c r="Q5" s="93" t="s">
        <v>162</v>
      </c>
      <c r="R5" s="93"/>
      <c r="S5" s="93"/>
      <c r="T5" s="93"/>
      <c r="U5" s="93"/>
    </row>
    <row r="6" spans="2:21" ht="15.75" x14ac:dyDescent="0.25">
      <c r="B6" s="53"/>
      <c r="C6" s="53"/>
      <c r="D6" s="53"/>
      <c r="E6" s="53"/>
      <c r="F6" s="53"/>
      <c r="G6" s="53"/>
      <c r="M6" s="93" t="s">
        <v>82</v>
      </c>
      <c r="N6" s="93"/>
      <c r="O6" s="93" t="s">
        <v>167</v>
      </c>
      <c r="P6" s="93" t="s">
        <v>249</v>
      </c>
      <c r="Q6" s="93" t="s">
        <v>162</v>
      </c>
      <c r="R6" s="93"/>
      <c r="S6" s="93"/>
      <c r="T6" s="93"/>
      <c r="U6" s="93"/>
    </row>
    <row r="7" spans="2:21" x14ac:dyDescent="0.2">
      <c r="M7" s="93" t="s">
        <v>151</v>
      </c>
      <c r="N7" s="93"/>
      <c r="O7" s="93" t="str">
        <f>$B$2&amp;EBF!C71</f>
        <v>MANCO2</v>
      </c>
      <c r="P7" s="93" t="str">
        <f>$C$2&amp;" "&amp;EBF!C71</f>
        <v>Manufacturing CO2</v>
      </c>
      <c r="Q7" s="93" t="str">
        <f>EBF!R2</f>
        <v>ktoe</v>
      </c>
      <c r="R7" s="93"/>
      <c r="S7" s="93"/>
      <c r="T7" s="93"/>
      <c r="U7" s="93"/>
    </row>
    <row r="8" spans="2:21" x14ac:dyDescent="0.2">
      <c r="M8" s="93"/>
      <c r="N8" s="93"/>
      <c r="O8" s="93"/>
      <c r="P8" s="93"/>
      <c r="Q8" s="93"/>
      <c r="R8" s="93"/>
      <c r="S8" s="93"/>
      <c r="T8" s="93"/>
      <c r="U8" s="93"/>
    </row>
    <row r="9" spans="2:21" x14ac:dyDescent="0.2">
      <c r="M9" s="93"/>
      <c r="N9" s="93"/>
      <c r="O9" s="93"/>
      <c r="P9" s="93"/>
      <c r="Q9" s="93"/>
      <c r="R9" s="93"/>
      <c r="S9" s="93"/>
      <c r="T9" s="93"/>
      <c r="U9" s="93"/>
    </row>
    <row r="10" spans="2:21" x14ac:dyDescent="0.2">
      <c r="M10" s="93"/>
      <c r="N10" s="93"/>
      <c r="O10" s="93"/>
      <c r="P10" s="93"/>
      <c r="Q10" s="93"/>
      <c r="R10" s="93"/>
      <c r="S10" s="93"/>
      <c r="T10" s="93"/>
      <c r="U10" s="93"/>
    </row>
    <row r="12" spans="2:21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2" t="s">
        <v>15</v>
      </c>
      <c r="N12" s="92"/>
      <c r="O12" s="93"/>
      <c r="P12" s="93"/>
      <c r="Q12" s="93"/>
      <c r="R12" s="93"/>
      <c r="S12" s="93"/>
      <c r="T12" s="93"/>
      <c r="U12" s="93"/>
    </row>
    <row r="13" spans="2:21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94" t="s">
        <v>11</v>
      </c>
      <c r="N13" s="95" t="s">
        <v>30</v>
      </c>
      <c r="O13" s="94" t="s">
        <v>1</v>
      </c>
      <c r="P13" s="94" t="s">
        <v>2</v>
      </c>
      <c r="Q13" s="94" t="s">
        <v>16</v>
      </c>
      <c r="R13" s="94" t="s">
        <v>17</v>
      </c>
      <c r="S13" s="94" t="s">
        <v>18</v>
      </c>
      <c r="T13" s="94" t="s">
        <v>19</v>
      </c>
      <c r="U13" s="94" t="s">
        <v>20</v>
      </c>
    </row>
    <row r="14" spans="2:21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96" t="s">
        <v>38</v>
      </c>
      <c r="N14" s="96" t="s">
        <v>31</v>
      </c>
      <c r="O14" s="96" t="s">
        <v>21</v>
      </c>
      <c r="P14" s="96" t="s">
        <v>22</v>
      </c>
      <c r="Q14" s="96" t="s">
        <v>23</v>
      </c>
      <c r="R14" s="96" t="s">
        <v>24</v>
      </c>
      <c r="S14" s="96" t="s">
        <v>43</v>
      </c>
      <c r="T14" s="96" t="s">
        <v>42</v>
      </c>
      <c r="U14" s="96" t="s">
        <v>25</v>
      </c>
    </row>
    <row r="15" spans="2:21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96" t="s">
        <v>81</v>
      </c>
      <c r="N15" s="96"/>
      <c r="O15" s="96"/>
      <c r="P15" s="96"/>
      <c r="Q15" s="96"/>
      <c r="R15" s="96"/>
      <c r="S15" s="96"/>
      <c r="T15" s="96"/>
      <c r="U15" s="96"/>
    </row>
    <row r="16" spans="2:21" x14ac:dyDescent="0.2">
      <c r="B16" s="91" t="str">
        <f>O$16</f>
        <v>Kiln</v>
      </c>
      <c r="C16" s="91" t="str">
        <f>PRI_Sector_Fuels!O5</f>
        <v>MANCOALMIN</v>
      </c>
      <c r="D16" s="93" t="str">
        <f>O$5</f>
        <v>MANHEAT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1515</v>
      </c>
      <c r="K16" s="108"/>
      <c r="L16" s="114"/>
      <c r="M16" s="91" t="s">
        <v>113</v>
      </c>
      <c r="O16" s="91" t="s">
        <v>153</v>
      </c>
      <c r="P16" s="91" t="s">
        <v>241</v>
      </c>
      <c r="Q16" s="93" t="str">
        <f>$E$2</f>
        <v>GWh</v>
      </c>
      <c r="R16" s="93" t="s">
        <v>154</v>
      </c>
      <c r="S16" s="93"/>
      <c r="T16" s="267"/>
      <c r="U16" s="93"/>
    </row>
    <row r="17" spans="2:21" x14ac:dyDescent="0.2">
      <c r="B17" s="91" t="str">
        <f>O$16</f>
        <v>Kiln</v>
      </c>
      <c r="C17" s="91" t="str">
        <f>PRI_Sector_Fuels!O6</f>
        <v>MANCOALIMP</v>
      </c>
      <c r="D17" s="93" t="str">
        <f t="shared" ref="D17:D18" si="0">O$5</f>
        <v>MANHEAT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1515</v>
      </c>
      <c r="K17" s="108"/>
      <c r="L17" s="114"/>
      <c r="M17" s="91" t="s">
        <v>113</v>
      </c>
      <c r="O17" s="91" t="s">
        <v>155</v>
      </c>
      <c r="P17" s="91" t="s">
        <v>156</v>
      </c>
      <c r="Q17" s="93" t="str">
        <f>$E$2</f>
        <v>GWh</v>
      </c>
      <c r="R17" s="93" t="s">
        <v>154</v>
      </c>
      <c r="S17" s="93"/>
      <c r="T17" s="267"/>
      <c r="U17" s="93"/>
    </row>
    <row r="18" spans="2:21" x14ac:dyDescent="0.2">
      <c r="B18" s="91" t="str">
        <f>O$17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08">
        <v>1212</v>
      </c>
      <c r="K18" s="108"/>
      <c r="L18" s="114"/>
      <c r="M18" s="91" t="s">
        <v>113</v>
      </c>
      <c r="O18" s="163" t="s">
        <v>167</v>
      </c>
      <c r="P18" s="91" t="s">
        <v>246</v>
      </c>
      <c r="Q18" s="91" t="s">
        <v>162</v>
      </c>
      <c r="R18" s="91" t="s">
        <v>154</v>
      </c>
      <c r="S18" s="171" t="s">
        <v>253</v>
      </c>
    </row>
    <row r="19" spans="2:21" s="159" customFormat="1" x14ac:dyDescent="0.2">
      <c r="B19" s="97" t="s">
        <v>167</v>
      </c>
      <c r="C19" s="97" t="str">
        <f>PRI_Sector_Fuels!O8</f>
        <v>ELC</v>
      </c>
      <c r="D19" s="93" t="str">
        <f>O6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59">
        <v>1111</v>
      </c>
      <c r="Q19" s="97"/>
      <c r="R19" s="97"/>
      <c r="S19" s="172"/>
    </row>
    <row r="20" spans="2:21" s="159" customFormat="1" x14ac:dyDescent="0.2">
      <c r="B20" s="97"/>
      <c r="C20" s="97"/>
      <c r="D20" s="93"/>
      <c r="E20" s="161"/>
      <c r="F20" s="162"/>
      <c r="Q20" s="97"/>
      <c r="R20" s="97"/>
    </row>
    <row r="21" spans="2:21" s="159" customFormat="1" x14ac:dyDescent="0.2">
      <c r="B21" s="97"/>
      <c r="C21" s="97"/>
      <c r="D21" s="93"/>
      <c r="E21" s="161"/>
      <c r="F21" s="162"/>
    </row>
    <row r="22" spans="2:21" s="159" customFormat="1" x14ac:dyDescent="0.2">
      <c r="B22" s="97"/>
      <c r="C22" s="97"/>
      <c r="D22" s="93"/>
      <c r="E22" s="161"/>
      <c r="F22" s="162"/>
    </row>
    <row r="23" spans="2:21" s="159" customFormat="1" x14ac:dyDescent="0.2">
      <c r="B23" s="97"/>
      <c r="C23" s="160"/>
      <c r="D23" s="93"/>
      <c r="E23" s="161"/>
      <c r="F23" s="162"/>
    </row>
    <row r="24" spans="2:21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1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1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1" x14ac:dyDescent="0.2">
      <c r="F27" s="110"/>
      <c r="Q27" s="93"/>
      <c r="R27" s="93"/>
      <c r="S27" s="171"/>
    </row>
    <row r="28" spans="2:21" x14ac:dyDescent="0.2">
      <c r="F28" s="110"/>
      <c r="N28" s="114"/>
      <c r="P28" s="114"/>
      <c r="Q28" s="115"/>
      <c r="R28" s="115"/>
    </row>
    <row r="29" spans="2:21" x14ac:dyDescent="0.2">
      <c r="F29" s="110"/>
      <c r="G29" s="21"/>
      <c r="H29" s="111"/>
    </row>
    <row r="30" spans="2:21" x14ac:dyDescent="0.2">
      <c r="H30" s="111"/>
    </row>
    <row r="31" spans="2:21" x14ac:dyDescent="0.2">
      <c r="B31" s="108"/>
      <c r="C31" s="91" t="s">
        <v>98</v>
      </c>
      <c r="H31" s="111"/>
    </row>
    <row r="32" spans="2:21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DemTechs_INDF!O5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DemTechs_INDF!O6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DemTechs_INDF!O$6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DemTechs_INDF!O$6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DemTechs_INDF!O$6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DemTechs_INDF!O$6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DemTechs_INDF!O$6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DemTechs_INDF!O$6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DemTechs_INDF!O$6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DemTechs_INDF!O$6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DemTechs_INDF!O$6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DemTechs_INDF!O$6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DemTechs_INDF!O$6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DemTechs_INDF!O$6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DemTechs_INDF!O$6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DemTechs_INDF!O$6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DemTechs_INDF!O$6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DemTechs_INDF!O$6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DemTechs_INDF!O$6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DemTechs_INDF!O$6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DemTechs_INDF!O$6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DemTechs_INDF!O$6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DemTechs_INDF!O$6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DemTechs_INDF!O$6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DemTechs_INDF!O$6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DemTechs_INDF!O$6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DemTechs_INDF!O$6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DemTechs_INDF!O$6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DemTechs_INDF!O$6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DemTechs_INDF!O$6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DemTechs_INDF!O$6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DemTechs_INDF!O$6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DemTechs_INDF!O$6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DemTechs_INDF!O$6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DemTechs_INDF!O$6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DemTechs_INDF!O$6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DemTechs_INDF!O$6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DemTechs_INDF!O$6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DemTechs_INDF!O$6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DemTechs_INDF!O$6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DemTechs_INDF!O$6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DemTechs_INDF!O$6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DemTechs_INDF!O$6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DemTechs_INDF!O$6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DemTechs_INDF!O$6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DemTechs_INDF!O$6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DemTechs_INDF!O$6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DemTechs_INDF!O$6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DemTechs_INDF!O$6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DemTechs_INDF!O$6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DemTechs_INDF!O$6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DemTechs_INDF!O$6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DemTechs_INDF!O7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2025-11-07T16:16:24Z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