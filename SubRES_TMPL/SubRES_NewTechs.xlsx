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24D81431-89D0-40DC-9113-195B0887EAD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7" l="1"/>
  <c r="D22" i="7"/>
  <c r="D21" i="7"/>
  <c r="D20" i="7"/>
  <c r="D19" i="7"/>
  <c r="D18" i="7"/>
  <c r="B30" i="6"/>
  <c r="C23" i="7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7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<sst xmlns="http://schemas.openxmlformats.org/spreadsheetml/2006/main" count="256" uniqueCount="135">
  <si>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</si>
  <si>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</si>
  <si>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</si>
  <si>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</si>
  <si>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</si>
  <si>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</si>
  <si>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</si>
  <si>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</si>
  <si>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</si>
  <si>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</si>
  <si>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</si>
  <si>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</si>
  <si>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</si>
  <si>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</si>
  <si>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</si>
  <si>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</si>
  <si>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</si>
  <si>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</si>
  <si>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</si>
  <si>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</si>
  <si>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</si>
  <si>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</si>
  <si>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</si>
  <si>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</si>
  <si>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</si>
  <si>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</si>
  <si>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</si>
  <si>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</si>
  <si>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</si>
  <si>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</si>
  <si>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</si>
  <si>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</si>
  <si>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</si>
  <si>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</si>
  <si>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</si>
  <si>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</si>
  <si>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</si>
  <si>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</si>
  <si>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</si>
  <si>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</si>
  <si>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</si>
  <si>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</si>
  <si>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</si>
  <si>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</si>
  <si>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</si>
  <si>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</si>
  <si>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</si>
  <si>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</si>
  <si>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</si>
  <si>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</si>
  <si>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</si>
  <si>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</si>
  <si>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</si>
  <si>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</si>
  <si>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</si>
  <si>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</si>
  <si>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</si>
  <si>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</si>
  <si>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</si>
  <si>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</si>
  <si>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</si>
  <si>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</si>
  <si>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</si>
  <si>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</si>
  <si>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</si>
  <si>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</si>
  <si>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</si>
  <si>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</si>
  <si>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</si>
  <si>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</si>
  <si>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</si>
  <si>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</si>
  <si>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</si>
  <si>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</si>
  <si>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</si>
  <si>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</si>
  <si>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</si>
  <si>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</si>
  <si>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</si>
  <si>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</si>
  <si>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</si>
  <si>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</si>
  <si>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</si>
  <si>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</si>
  <si>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</si>
  <si>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</si>
  <si>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</si>
  <si>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</si>
  <si>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</si>
  <si>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</si>
  <si>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</si>
  <si>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</si>
  <si>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</si>
  <si>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</si>
  <si>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</si>
  <si>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</si>
  <si>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</si>
  <si>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</si>
  <si>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</si>
  <si>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</si>
  <si>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</si>
  <si>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</si>
  <si>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</si>
  <si>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</si>
  <si>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</si>
  <si>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</si>
  <si>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</si>
  <si>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</si>
  <si>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</si>
  <si>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</si>
  <si>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</si>
  <si>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</si>
  <si>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</si>
  <si>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</si>
  <si>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</si>
  <si>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</si>
  <si>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</si>
  <si>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</si>
  <si>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</si>
  <si>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</si>
  <si>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</si>
  <si>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</si>
  <si>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</si>
  <si>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</si>
  <si>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</si>
  <si>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</si>
  <si>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</si>
  <si>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</si>
  <si>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</si>
  <si>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BIOKHEAT</t>
  </si>
  <si>
    <t>SOLHEAT</t>
  </si>
  <si>
    <t>BIOBHEAT</t>
  </si>
  <si>
    <t>GASBHEAT</t>
  </si>
  <si>
    <t>PHEAT</t>
  </si>
  <si>
    <t>ELCHEAT,BIOBHEAT,GASBHEAT,BIOKHEAT,SOLHEAT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</si>
</sst>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36</xdr:row>
      <xdr:rowOff>65943</xdr:rowOff>
    </xdr:from>
    <xdr:to>
      <xdr:col>16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A2" zoomScale="96" zoomScaleNormal="96" workbookViewId="0">
      <selection activeCell="D30" sqref="D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6"/>
      <c r="G1" s="7" t="s">
        <v>41</v>
      </c>
    </row>
    <row r="2" spans="2:21" ht="15.75" x14ac:dyDescent="0.25">
      <c r="C2" s="21" t="s">
        <v>72</v>
      </c>
      <c r="D2" s="21" t="s">
        <v>73</v>
      </c>
      <c r="E2" s="18" t="s">
        <v>58</v>
      </c>
      <c r="F2" s="21"/>
      <c r="G2" s="4" t="s">
        <v>84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74</v>
      </c>
      <c r="E3" s="18" t="s">
        <v>58</v>
      </c>
      <c r="F3" s="21"/>
      <c r="G3" s="4" t="s">
        <v>84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84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75</v>
      </c>
      <c r="E5" s="18" t="s">
        <v>58</v>
      </c>
      <c r="F5" s="21"/>
      <c r="G5" s="4" t="s">
        <v>84</v>
      </c>
      <c r="M5" s="19" t="s">
        <v>59</v>
      </c>
      <c r="N5" s="19"/>
      <c r="O5" s="19" t="s">
        <v>68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67</v>
      </c>
      <c r="P6" s="19" t="s">
        <v>99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72</v>
      </c>
      <c r="P7" s="72" t="s">
        <v>109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115</v>
      </c>
      <c r="P8" s="72" t="s">
        <v>110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77</v>
      </c>
      <c r="H23" s="24" t="s">
        <v>78</v>
      </c>
      <c r="I23" s="24" t="s">
        <v>79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80</v>
      </c>
      <c r="H24" s="25" t="s">
        <v>81</v>
      </c>
      <c r="I24" s="25" t="s">
        <v>82</v>
      </c>
      <c r="J24" s="26" t="s">
        <v>83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84</v>
      </c>
      <c r="I25" s="27" t="s">
        <v>58</v>
      </c>
      <c r="J25" s="28"/>
      <c r="K25" s="28"/>
      <c r="M25" s="20" t="s">
        <v>85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64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64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69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69</v>
      </c>
      <c r="O28" s="15" t="s">
        <v>100</v>
      </c>
      <c r="P28" s="34" t="s">
        <v>103</v>
      </c>
      <c r="Q28" t="s">
        <v>58</v>
      </c>
      <c r="S28" t="s">
        <v>95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69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69</v>
      </c>
      <c r="O29" s="15" t="s">
        <v>101</v>
      </c>
      <c r="P29" s="34" t="s">
        <v>102</v>
      </c>
      <c r="Q29" t="s">
        <v>58</v>
      </c>
      <c r="S29" t="s">
        <v>95</v>
      </c>
    </row>
    <row r="30" spans="2:21" x14ac:dyDescent="0.2">
      <c r="B30" s="19" t="str">
        <f>O32</f>
        <v>CSP</v>
      </c>
      <c r="C30" s="19" t="str">
        <f>O8</f>
        <v>SOLAR</v>
      </c>
      <c r="D30" s="19" t="s">
        <v>125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64</v>
      </c>
      <c r="N30" s="71"/>
      <c r="O30" s="72" t="s">
        <v>111</v>
      </c>
      <c r="P30" s="73" t="s">
        <v>114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64</v>
      </c>
      <c r="N31" s="71"/>
      <c r="O31" s="72" t="s">
        <v>112</v>
      </c>
      <c r="P31" s="73" t="s">
        <v>113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M32" t="s">
        <v>127</v>
      </c>
      <c r="O32" s="15" t="s">
        <v>65</v>
      </c>
      <c r="P32" s="34" t="s">
        <v>126</v>
      </c>
      <c r="Q32" t="s">
        <v>58</v>
      </c>
      <c r="S32" t="s">
        <v>95</v>
      </c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86</v>
      </c>
      <c r="H41" s="68"/>
      <c r="I41" s="69"/>
      <c r="J41" s="68"/>
      <c r="K41" s="68"/>
    </row>
    <row r="42" spans="2:16" x14ac:dyDescent="0.2">
      <c r="B42" s="38"/>
      <c r="C42" s="1" t="s">
        <v>87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8"/>
  <sheetViews>
    <sheetView tabSelected="1" topLeftCell="A4" zoomScale="118" zoomScaleNormal="118" workbookViewId="0">
      <selection activeCell="C19" sqref="C19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88</v>
      </c>
    </row>
    <row r="2" spans="2:22" ht="31.5" x14ac:dyDescent="0.25">
      <c r="B2" s="4" t="s">
        <v>105</v>
      </c>
      <c r="C2" s="4" t="s">
        <v>106</v>
      </c>
      <c r="D2" s="39" t="str">
        <f>"Demand Technologies"</f>
        <v>Demand Technologies</v>
      </c>
      <c r="E2" s="4" t="s">
        <v>58</v>
      </c>
      <c r="F2" s="4" t="s">
        <v>107</v>
      </c>
      <c r="G2" s="4"/>
      <c r="H2" s="4" t="s">
        <v>104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16" t="s">
        <v>59</v>
      </c>
      <c r="O5" s="16"/>
      <c r="P5" s="16" t="s">
        <v>128</v>
      </c>
      <c r="Q5" s="16"/>
      <c r="R5" s="66" t="s">
        <v>58</v>
      </c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 t="s">
        <v>59</v>
      </c>
      <c r="O6" s="16"/>
      <c r="P6" s="16" t="s">
        <v>131</v>
      </c>
      <c r="Q6" s="16"/>
      <c r="R6" s="66" t="s">
        <v>58</v>
      </c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 t="s">
        <v>59</v>
      </c>
      <c r="O7" s="16"/>
      <c r="P7" s="16" t="s">
        <v>132</v>
      </c>
      <c r="Q7" s="16"/>
      <c r="R7" s="66" t="s">
        <v>58</v>
      </c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 t="s">
        <v>59</v>
      </c>
      <c r="O8" s="16"/>
      <c r="P8" s="16" t="s">
        <v>129</v>
      </c>
      <c r="Q8" s="16"/>
      <c r="R8" s="66" t="s">
        <v>58</v>
      </c>
      <c r="S8" s="16"/>
      <c r="T8" s="16"/>
      <c r="U8" s="16"/>
      <c r="V8" s="16"/>
    </row>
    <row r="9" spans="2:22" x14ac:dyDescent="0.2">
      <c r="N9" s="16" t="s">
        <v>59</v>
      </c>
      <c r="O9" s="16"/>
      <c r="P9" s="16" t="s">
        <v>130</v>
      </c>
      <c r="Q9" s="16"/>
      <c r="R9" s="66" t="s">
        <v>58</v>
      </c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89</v>
      </c>
      <c r="F15" s="46" t="s">
        <v>116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90</v>
      </c>
      <c r="F16" s="48" t="s">
        <v>91</v>
      </c>
      <c r="G16" s="48" t="s">
        <v>35</v>
      </c>
      <c r="H16" s="49" t="s">
        <v>49</v>
      </c>
      <c r="I16" s="48" t="s">
        <v>57</v>
      </c>
      <c r="J16" s="48" t="s">
        <v>92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93</v>
      </c>
      <c r="F17" s="52"/>
      <c r="G17" s="52"/>
      <c r="H17" s="53"/>
      <c r="I17" s="52" t="s">
        <v>54</v>
      </c>
      <c r="J17" s="52" t="s">
        <v>84</v>
      </c>
      <c r="K17" s="53"/>
      <c r="L17" s="54"/>
      <c r="M17" s="54"/>
      <c r="N17" s="44" t="s">
        <v>85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69</v>
      </c>
      <c r="D18" s="56" t="str">
        <f>P5</f>
        <v>ELCHEAT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127</v>
      </c>
      <c r="O18" s="58"/>
      <c r="P18" s="58" t="s">
        <v>66</v>
      </c>
      <c r="Q18" s="58" t="s">
        <v>124</v>
      </c>
      <c r="R18" s="9" t="s">
        <v>58</v>
      </c>
      <c r="S18" s="9" t="s">
        <v>94</v>
      </c>
      <c r="T18" s="59" t="s">
        <v>95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tr">
        <f>P6</f>
        <v>BIOBHEAT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127</v>
      </c>
      <c r="O19" s="58"/>
      <c r="P19" s="58" t="s">
        <v>117</v>
      </c>
      <c r="Q19" s="58" t="s">
        <v>108</v>
      </c>
      <c r="R19" s="9" t="s">
        <v>58</v>
      </c>
      <c r="S19" s="9" t="s">
        <v>94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tr">
        <f>P7</f>
        <v>GASBHEAT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127</v>
      </c>
      <c r="O20" s="58"/>
      <c r="P20" s="58" t="s">
        <v>118</v>
      </c>
      <c r="Q20" s="58" t="s">
        <v>123</v>
      </c>
      <c r="R20" s="9" t="s">
        <v>58</v>
      </c>
      <c r="S20" s="9" t="s">
        <v>94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tr">
        <f>P8</f>
        <v>BIOKHEAT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127</v>
      </c>
      <c r="P21" s="58" t="s">
        <v>65</v>
      </c>
      <c r="Q21" s="58" t="s">
        <v>76</v>
      </c>
      <c r="R21" s="9" t="s">
        <v>58</v>
      </c>
      <c r="S21" s="9" t="s">
        <v>94</v>
      </c>
    </row>
    <row r="22" spans="2:22" s="58" customFormat="1" x14ac:dyDescent="0.2">
      <c r="B22" s="9" t="str">
        <f>P23</f>
        <v>ELCBoiler</v>
      </c>
      <c r="C22" s="9" t="s">
        <v>69</v>
      </c>
      <c r="D22" s="56" t="str">
        <f>P5</f>
        <v>ELCHEAT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127</v>
      </c>
      <c r="P22" s="58" t="s">
        <v>119</v>
      </c>
      <c r="Q22" s="58" t="s">
        <v>120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tr">
        <f>P9</f>
        <v>SOLHEAT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127</v>
      </c>
      <c r="P23" s="58" t="s">
        <v>121</v>
      </c>
      <c r="Q23" s="58" t="s">
        <v>122</v>
      </c>
      <c r="R23" s="9"/>
      <c r="S23" s="9"/>
    </row>
    <row r="24" spans="2:22" s="58" customFormat="1" x14ac:dyDescent="0.2">
      <c r="B24" s="8" t="s">
        <v>133</v>
      </c>
      <c r="C24" s="16" t="s">
        <v>134</v>
      </c>
      <c r="D24" s="56" t="s">
        <v>125</v>
      </c>
      <c r="E24" s="17"/>
      <c r="F24" s="57"/>
      <c r="G24" s="58">
        <v>1</v>
      </c>
      <c r="H24" s="58">
        <v>1</v>
      </c>
      <c r="I24" s="58">
        <v>50</v>
      </c>
      <c r="J24" s="58">
        <v>0</v>
      </c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16"/>
      <c r="D25" s="56"/>
      <c r="E25" s="17"/>
      <c r="F25" s="57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58" customFormat="1" x14ac:dyDescent="0.2">
      <c r="B26" s="8"/>
      <c r="C26" s="16"/>
      <c r="D26" s="56"/>
      <c r="E26" s="17"/>
      <c r="F26" s="57"/>
      <c r="K26" s="8"/>
      <c r="N26" s="8"/>
      <c r="O26" s="8"/>
      <c r="P26" s="8"/>
      <c r="Q26" s="8"/>
      <c r="R26" s="8"/>
      <c r="S26" s="8"/>
      <c r="T26" s="8"/>
      <c r="U26" s="8"/>
      <c r="V26" s="8"/>
    </row>
    <row r="27" spans="2:22" s="58" customFormat="1" x14ac:dyDescent="0.2">
      <c r="B27" s="8"/>
      <c r="C27" s="16"/>
      <c r="D27" s="56"/>
      <c r="E27" s="17"/>
      <c r="F27" s="57"/>
      <c r="K27" s="8"/>
      <c r="N27" s="8"/>
      <c r="O27" s="8"/>
      <c r="P27" s="8"/>
      <c r="Q27" s="8"/>
      <c r="R27" s="8"/>
      <c r="S27" s="8"/>
      <c r="T27" s="8"/>
      <c r="U27" s="8"/>
      <c r="V27" s="8"/>
    </row>
    <row r="28" spans="2:22" s="58" customFormat="1" x14ac:dyDescent="0.2">
      <c r="B28" s="8"/>
      <c r="C28" s="16"/>
      <c r="D28" s="56"/>
      <c r="E28" s="17"/>
      <c r="F28" s="57"/>
      <c r="K28" s="8"/>
      <c r="N28" s="8"/>
      <c r="O28" s="8"/>
      <c r="P28" s="8"/>
      <c r="Q28" s="8"/>
      <c r="R28" s="8"/>
      <c r="S28" s="8"/>
      <c r="T28" s="8"/>
      <c r="U28" s="8"/>
      <c r="V28" s="8"/>
    </row>
    <row r="29" spans="2:22" s="58" customFormat="1" x14ac:dyDescent="0.2">
      <c r="B29" s="8"/>
      <c r="C29" s="8"/>
      <c r="D29" s="8"/>
      <c r="E29" s="8"/>
      <c r="F29" s="61"/>
      <c r="G29" s="8"/>
      <c r="H29" s="8"/>
      <c r="I29" s="8"/>
      <c r="J29" s="8"/>
      <c r="K29" s="8"/>
      <c r="N29" s="8"/>
      <c r="O29" s="8"/>
      <c r="P29" s="8"/>
      <c r="Q29" s="8"/>
      <c r="R29" s="8"/>
      <c r="S29" s="8"/>
      <c r="T29" s="8"/>
      <c r="U29" s="8"/>
      <c r="V29" s="8"/>
    </row>
    <row r="30" spans="2:22" s="60" customFormat="1" x14ac:dyDescent="0.2">
      <c r="B30" s="8"/>
      <c r="C30" s="8"/>
      <c r="D30" s="8"/>
      <c r="E30" s="8"/>
      <c r="F30" s="61"/>
      <c r="G30" s="8"/>
      <c r="H30" s="8"/>
      <c r="I30" s="8"/>
      <c r="J30" s="8"/>
      <c r="K30" s="8"/>
      <c r="N30" s="8"/>
      <c r="O30" s="8"/>
      <c r="P30" s="8"/>
      <c r="Q30" s="8"/>
      <c r="R30" s="16"/>
      <c r="S30" s="16"/>
      <c r="T30" s="67"/>
      <c r="U30" s="8"/>
      <c r="V30" s="8"/>
    </row>
    <row r="31" spans="2:22" x14ac:dyDescent="0.2">
      <c r="F31" s="61"/>
      <c r="G31" s="10"/>
      <c r="H31" s="63"/>
      <c r="O31" s="60"/>
      <c r="Q31" s="60"/>
      <c r="R31" s="62"/>
      <c r="S31" s="62"/>
    </row>
    <row r="32" spans="2:22" x14ac:dyDescent="0.2">
      <c r="H32" s="63"/>
    </row>
    <row r="33" spans="2:8" x14ac:dyDescent="0.2">
      <c r="B33" s="55"/>
      <c r="C33" s="8" t="s">
        <v>86</v>
      </c>
      <c r="H33" s="63"/>
    </row>
    <row r="34" spans="2:8" x14ac:dyDescent="0.2">
      <c r="B34" s="64"/>
      <c r="C34" s="8" t="s">
        <v>87</v>
      </c>
      <c r="H34" s="63"/>
    </row>
    <row r="35" spans="2:8" x14ac:dyDescent="0.2">
      <c r="E35" s="8" t="s">
        <v>96</v>
      </c>
      <c r="F35" s="8" t="s">
        <v>97</v>
      </c>
      <c r="H35" s="63"/>
    </row>
    <row r="37" spans="2:8" x14ac:dyDescent="0.2">
      <c r="E37" s="8" t="s">
        <v>98</v>
      </c>
      <c r="F37" s="8">
        <f>24*365</f>
        <v>8760</v>
      </c>
    </row>
    <row r="38" spans="2:8" x14ac:dyDescent="0.2">
      <c r="E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2025-11-08T16:56:36Z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