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B471A3E6-7314-41F8-A5AD-1893679955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Y_MANHEAT" sheetId="6" r:id="rId1"/>
    <sheet name="IND_MANHEAT" sheetId="2" r:id="rId2"/>
  </sheet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<sst xmlns="http://schemas.openxmlformats.org/spreadsheetml/2006/main" count="37" uniqueCount="17">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</sst>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  <xf numFmtId="0" fontId="11" fillId="7" borderId="0" applyNumberFormat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1" fontId="0" fillId="0" borderId="0" xfId="0" applyNumberFormat="1"/>
    <xf numFmtId="1" fontId="2" fillId="8" borderId="0" xfId="20" applyNumberFormat="1" applyFont="1" applyFill="1"/>
    <xf numFmtId="9" fontId="0" fillId="0" borderId="0" xfId="19" applyFont="1"/>
    <xf numFmtId="0" fontId="10" fillId="6" borderId="0" xfId="1" applyFont="1" applyFill="1" applyBorder="1" applyAlignment="1">
      <alignment horizontal="center" wrapText="1"/>
    </xf>
  </cellXfs>
  <cellStyles count="21">
    <cellStyle name="40% - Accent3" xfId="1" builtinId="39"/>
    <cellStyle name="Comma 2" xfId="2" xr:uid="{00000000-0005-0000-0000-000001000000}"/>
    <cellStyle name="Neutral" xfId="20" builtinId="28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tabSelected="1" workbookViewId="0">
      <selection activeCell="M13" sqref="M13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/>
      <c r="C2" s="6"/>
      <c r="D2" s="6"/>
      <c r="E2" s="6"/>
      <c r="F2" s="6"/>
      <c r="G2" s="6"/>
      <c r="H2" s="6"/>
    </row>
    <row r="3" spans="2:9" ht="15.75" thickBot="1" x14ac:dyDescent="0.3">
      <c r="B3" s="7" t="s">
        <v>8</v>
      </c>
      <c r="C3" s="7" t="s">
        <v>9</v>
      </c>
      <c r="D3" s="3" t="s">
        <v>4</v>
      </c>
      <c r="E3" s="3" t="s">
        <v>2</v>
      </c>
      <c r="F3" s="3" t="s">
        <v>1</v>
      </c>
      <c r="G3" s="3" t="s">
        <v>16</v>
      </c>
      <c r="H3" s="4" t="s">
        <v>12</v>
      </c>
      <c r="I3" s="5" t="s">
        <v>0</v>
      </c>
    </row>
    <row r="4" spans="2:9" x14ac:dyDescent="0.25">
      <c r="B4" t="s">
        <v>10</v>
      </c>
      <c r="C4" s="10" t="s">
        <v>11</v>
      </c>
      <c r="F4" t="s">
        <v>6</v>
      </c>
      <c r="G4">
        <v>2022</v>
      </c>
      <c r="H4" s="12">
        <v>10281.3477669522</v>
      </c>
      <c r="I4" t="s">
        <v>13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A16" sqref="AA16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4" t="s">
        <v>7</v>
      </c>
      <c r="K1" s="14"/>
    </row>
    <row r="2" spans="1:11" x14ac:dyDescent="0.25">
      <c r="B2" s="1" t="s">
        <v>3</v>
      </c>
      <c r="G2" s="2"/>
      <c r="J2" t="s">
        <v>13</v>
      </c>
      <c r="K2" t="s">
        <v>14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15</v>
      </c>
      <c r="F3" s="4" t="s">
        <v>12</v>
      </c>
      <c r="G3" s="5" t="s">
        <v>0</v>
      </c>
      <c r="J3" s="8" t="s">
        <v>12</v>
      </c>
      <c r="K3" s="8" t="s">
        <v>12</v>
      </c>
    </row>
    <row r="4" spans="1:11" x14ac:dyDescent="0.25">
      <c r="D4" t="s">
        <v>6</v>
      </c>
      <c r="E4">
        <v>2025</v>
      </c>
      <c r="F4" s="11">
        <f>BY_MANHEAT!$H$4*(1+$J$4)^(E4-2022)</f>
        <v>20811.797787542779</v>
      </c>
      <c r="G4" s="6" t="s">
        <v>13</v>
      </c>
      <c r="J4" s="9">
        <v>0.26498832137448636</v>
      </c>
      <c r="K4" s="13">
        <v>8.8730723400078371E-2</v>
      </c>
    </row>
    <row r="5" spans="1:11" x14ac:dyDescent="0.25">
      <c r="D5" t="s">
        <v>6</v>
      </c>
      <c r="E5">
        <v>2030</v>
      </c>
      <c r="F5" s="11">
        <f>BY_MANHEAT!$H$4*(1+$J$4)^(E5-2022)</f>
        <v>67412.770774944656</v>
      </c>
      <c r="G5" s="6" t="s">
        <v>13</v>
      </c>
      <c r="J5" s="9"/>
    </row>
    <row r="6" spans="1:11" x14ac:dyDescent="0.25">
      <c r="D6" t="s">
        <v>6</v>
      </c>
      <c r="E6">
        <v>2035</v>
      </c>
      <c r="F6" s="11">
        <f>BY_MANHEAT!$H$4*(1+$J$4)^(E6-2022)</f>
        <v>218360.84080518034</v>
      </c>
      <c r="G6" s="6" t="s">
        <v>13</v>
      </c>
      <c r="J6" s="9"/>
    </row>
    <row r="7" spans="1:11" x14ac:dyDescent="0.25">
      <c r="D7" t="s">
        <v>6</v>
      </c>
      <c r="E7">
        <v>2040</v>
      </c>
      <c r="F7" s="11">
        <f>BY_MANHEAT!$H$4*(1+$J$4)^(E7-2022)</f>
        <v>707305.9933455087</v>
      </c>
      <c r="G7" s="6" t="s">
        <v>13</v>
      </c>
      <c r="J7" s="9"/>
    </row>
    <row r="8" spans="1:11" x14ac:dyDescent="0.25">
      <c r="D8" t="s">
        <v>6</v>
      </c>
      <c r="E8">
        <v>2045</v>
      </c>
      <c r="F8" s="11">
        <f>BY_MANHEAT!$H$4*(1+$J$4)^(E8-2022)</f>
        <v>2291078.2280272678</v>
      </c>
      <c r="G8" s="6" t="s">
        <v>13</v>
      </c>
    </row>
    <row r="9" spans="1:11" x14ac:dyDescent="0.25">
      <c r="D9" t="s">
        <v>6</v>
      </c>
      <c r="E9">
        <v>2050</v>
      </c>
      <c r="F9" s="11">
        <f>BY_MANHEAT!$H$4*(1+$J$4)^(E9-2022)</f>
        <v>7421172.019358933</v>
      </c>
      <c r="G9" s="6" t="s">
        <v>13</v>
      </c>
    </row>
    <row r="10" spans="1:11" x14ac:dyDescent="0.25">
      <c r="F10" s="11"/>
      <c r="G10" s="6"/>
    </row>
    <row r="11" spans="1:11" x14ac:dyDescent="0.25">
      <c r="F11" s="11"/>
      <c r="G11" s="6"/>
    </row>
    <row r="12" spans="1:11" x14ac:dyDescent="0.25">
      <c r="F12" s="11"/>
      <c r="G12" s="6"/>
    </row>
    <row r="13" spans="1:11" x14ac:dyDescent="0.25">
      <c r="F13" s="11"/>
      <c r="G13" s="6"/>
    </row>
    <row r="14" spans="1:11" x14ac:dyDescent="0.25">
      <c r="F14" s="11"/>
      <c r="G14" s="6"/>
    </row>
    <row r="15" spans="1:11" x14ac:dyDescent="0.25">
      <c r="F15" s="11"/>
      <c r="G15" s="6"/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BY_MANHEAT</vt:lpstr>
      <vt:lpstr>IND_MANHEAT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2025-11-06T12:52:24Z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