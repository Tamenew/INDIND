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IND001\INDIND\SuppXLS\"/>
    </mc:Choice>
  </mc:AlternateContent>
  <xr:revisionPtr revIDLastSave="0" documentId="13_ncr:1_{68426E8C-47D5-4762-9F7D-5536D8E70732}" xr6:coauthVersionLast="47" xr6:coauthVersionMax="47" xr10:uidLastSave="{00000000-0000-0000-0000-000000000000}"/>
  <bookViews>
    <workbookView xWindow="-120" yWindow="-120" windowWidth="29040" windowHeight="15720" activeTab="1" xr2:uid="{BA782D15-AA3B-46EF-B116-A71502E0EFA2}"/>
  </bookViews>
  <sheets>
    <sheet name="TFM_MIG" sheetId="1" r:id="rId1"/>
    <sheet name="FLO_SHA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" l="1"/>
  <c r="E5" i="3" s="1"/>
  <c r="D6" i="1"/>
  <c r="D8" i="1" s="1"/>
  <c r="D5" i="1"/>
  <c r="D7" i="1" s="1"/>
</calcChain>
</file>

<file path=xl/sharedStrings.xml><?xml version="1.0" encoding="utf-8"?>
<sst xmlns="http://schemas.openxmlformats.org/spreadsheetml/2006/main" count="50" uniqueCount="26">
  <si>
    <t>~TFM_MIG</t>
  </si>
  <si>
    <t>TimeSlice</t>
  </si>
  <si>
    <t>LimType</t>
  </si>
  <si>
    <t>Attribute</t>
  </si>
  <si>
    <t>Year2</t>
  </si>
  <si>
    <t>AllRegions</t>
  </si>
  <si>
    <t>Pset_PN</t>
  </si>
  <si>
    <t>UP</t>
  </si>
  <si>
    <t>Share-I</t>
  </si>
  <si>
    <t>Value</t>
  </si>
  <si>
    <t>Share-</t>
  </si>
  <si>
    <t>Comment</t>
  </si>
  <si>
    <t>MANCOALIMP</t>
  </si>
  <si>
    <t>MANOILIMP</t>
  </si>
  <si>
    <t>ELC</t>
  </si>
  <si>
    <t>~FLO_SHAR</t>
  </si>
  <si>
    <t>TechName</t>
  </si>
  <si>
    <t>CommName</t>
  </si>
  <si>
    <t>Kiln</t>
  </si>
  <si>
    <t>FLO_SHAR</t>
  </si>
  <si>
    <t>Boiler</t>
  </si>
  <si>
    <t>LO</t>
  </si>
  <si>
    <t>MANHEAT</t>
  </si>
  <si>
    <t>Imported coal reduces to 0</t>
  </si>
  <si>
    <t>Imported Oil covers 100%</t>
  </si>
  <si>
    <t>ElC covers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</si>
</sst>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indexed="12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3" borderId="1" xfId="0" applyFont="1" applyFill="1" applyBorder="1"/>
    <xf numFmtId="0" fontId="1" fillId="2" borderId="0" xfId="1"/>
    <xf numFmtId="0" fontId="1" fillId="4" borderId="0" xfId="1" applyFill="1"/>
    <xf numFmtId="0" fontId="0" fillId="4" borderId="0" xfId="0" applyFill="1"/>
    <xf numFmtId="0" fontId="3" fillId="3" borderId="0" xfId="0" applyFont="1" applyFill="1"/>
    <xf numFmtId="0" fontId="0" fillId="2" borderId="0" xfId="1" applyFont="1"/>
    <xf numFmtId="0" fontId="0" fillId="4" borderId="0" xfId="1" applyFont="1" applyFill="1"/>
  </cellXfs>
  <cellStyles count="2">
    <cellStyle name="20% - Accent4" xfId="1" builtinId="4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71446-C2EE-4B5C-98F9-BD09C2ACB7D9}">
  <dimension ref="A1:H8"/>
  <sheetViews>
    <sheetView workbookViewId="0">
      <selection activeCell="F5" sqref="F5"/>
    </sheetView>
  </sheetViews>
  <sheetFormatPr defaultRowHeight="15" x14ac:dyDescent="0.25"/>
  <cols>
    <col min="6" max="6" width="13.42578125" bestFit="1" customWidth="1"/>
  </cols>
  <sheetData>
    <row r="1" spans="1:8" x14ac:dyDescent="0.25">
      <c r="A1" s="1" t="s">
        <v>0</v>
      </c>
    </row>
    <row r="2" spans="1:8" ht="15.7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9</v>
      </c>
      <c r="H2" s="6" t="s">
        <v>11</v>
      </c>
    </row>
    <row r="3" spans="1:8" x14ac:dyDescent="0.25">
      <c r="B3" t="s">
        <v>7</v>
      </c>
      <c r="C3" t="s">
        <v>8</v>
      </c>
      <c r="D3">
        <v>2022</v>
      </c>
      <c r="E3">
        <v>5</v>
      </c>
      <c r="F3" t="s">
        <v>12</v>
      </c>
      <c r="G3" t="s">
        <v>10</v>
      </c>
    </row>
    <row r="4" spans="1:8" x14ac:dyDescent="0.25">
      <c r="B4" t="s">
        <v>7</v>
      </c>
      <c r="C4" t="s">
        <v>8</v>
      </c>
      <c r="D4">
        <v>2050</v>
      </c>
      <c r="E4">
        <v>5</v>
      </c>
      <c r="F4">
        <v>0</v>
      </c>
    </row>
    <row r="5" spans="1:8" s="3" customFormat="1" x14ac:dyDescent="0.25">
      <c r="B5" s="3" t="s">
        <v>7</v>
      </c>
      <c r="C5" s="3" t="s">
        <v>8</v>
      </c>
      <c r="D5" s="3">
        <f>D3</f>
        <v>2022</v>
      </c>
      <c r="E5">
        <v>5</v>
      </c>
      <c r="F5" s="7" t="s">
        <v>13</v>
      </c>
      <c r="G5" s="7" t="s">
        <v>10</v>
      </c>
    </row>
    <row r="6" spans="1:8" s="3" customFormat="1" x14ac:dyDescent="0.25">
      <c r="B6" s="3" t="s">
        <v>7</v>
      </c>
      <c r="C6" s="3" t="s">
        <v>8</v>
      </c>
      <c r="D6" s="3">
        <f>D4</f>
        <v>2050</v>
      </c>
      <c r="E6">
        <v>5</v>
      </c>
      <c r="F6" s="3">
        <v>0.25</v>
      </c>
    </row>
    <row r="7" spans="1:8" s="4" customFormat="1" x14ac:dyDescent="0.25">
      <c r="B7" s="4" t="s">
        <v>7</v>
      </c>
      <c r="C7" s="4" t="s">
        <v>8</v>
      </c>
      <c r="D7" s="4">
        <f>D5</f>
        <v>2022</v>
      </c>
      <c r="E7" s="5">
        <v>5</v>
      </c>
      <c r="F7" s="8" t="s">
        <v>14</v>
      </c>
      <c r="G7" s="8" t="s">
        <v>10</v>
      </c>
    </row>
    <row r="8" spans="1:8" x14ac:dyDescent="0.25">
      <c r="B8" s="4" t="s">
        <v>7</v>
      </c>
      <c r="C8" s="4" t="s">
        <v>8</v>
      </c>
      <c r="D8" s="4">
        <f t="shared" ref="D8" si="0">D6</f>
        <v>2050</v>
      </c>
      <c r="E8" s="5">
        <v>5</v>
      </c>
      <c r="F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6C728-C0D5-452A-80EE-E6B547EE8A86}">
  <dimension ref="A1:G5"/>
  <sheetViews>
    <sheetView tabSelected="1" workbookViewId="0">
      <selection activeCell="G9" sqref="G9"/>
    </sheetView>
  </sheetViews>
  <sheetFormatPr defaultRowHeight="15" x14ac:dyDescent="0.25"/>
  <cols>
    <col min="3" max="3" width="9.7109375" bestFit="1" customWidth="1"/>
    <col min="7" max="7" width="24.7109375" bestFit="1" customWidth="1"/>
  </cols>
  <sheetData>
    <row r="1" spans="1:7" x14ac:dyDescent="0.25">
      <c r="A1" s="1" t="s">
        <v>15</v>
      </c>
    </row>
    <row r="2" spans="1:7" ht="15.75" thickBot="1" x14ac:dyDescent="0.3">
      <c r="A2" s="2" t="s">
        <v>16</v>
      </c>
      <c r="B2" s="2" t="s">
        <v>17</v>
      </c>
      <c r="C2" s="2" t="s">
        <v>3</v>
      </c>
      <c r="D2" s="2" t="s">
        <v>2</v>
      </c>
      <c r="E2" s="2" t="s">
        <v>4</v>
      </c>
      <c r="F2" s="2" t="s">
        <v>9</v>
      </c>
      <c r="G2" s="6" t="s">
        <v>11</v>
      </c>
    </row>
    <row r="3" spans="1:7" x14ac:dyDescent="0.25">
      <c r="A3" t="s">
        <v>18</v>
      </c>
      <c r="B3" t="s">
        <v>12</v>
      </c>
      <c r="C3" t="s">
        <v>19</v>
      </c>
      <c r="D3" t="s">
        <v>7</v>
      </c>
      <c r="E3">
        <v>2050</v>
      </c>
      <c r="F3">
        <v>0</v>
      </c>
      <c r="G3" t="s">
        <v>23</v>
      </c>
    </row>
    <row r="4" spans="1:7" s="3" customFormat="1" x14ac:dyDescent="0.25">
      <c r="A4" s="7" t="s">
        <v>20</v>
      </c>
      <c r="B4" s="3" t="s">
        <v>13</v>
      </c>
      <c r="C4" t="s">
        <v>19</v>
      </c>
      <c r="D4" s="7" t="s">
        <v>21</v>
      </c>
      <c r="E4" s="3">
        <f>E3</f>
        <v>2050</v>
      </c>
      <c r="F4" s="7">
        <v>1</v>
      </c>
      <c r="G4" s="7" t="s">
        <v>24</v>
      </c>
    </row>
    <row r="5" spans="1:7" s="4" customFormat="1" x14ac:dyDescent="0.25">
      <c r="A5" s="8" t="s">
        <v>22</v>
      </c>
      <c r="B5" s="8" t="s">
        <v>14</v>
      </c>
      <c r="C5" t="s">
        <v>19</v>
      </c>
      <c r="D5" s="8" t="s">
        <v>7</v>
      </c>
      <c r="E5" s="4">
        <f>E4</f>
        <v>2050</v>
      </c>
      <c r="F5" s="8">
        <v>1</v>
      </c>
      <c r="G5" s="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TFM_MIG</vt:lpstr>
      <vt:lpstr>FLO_SHAR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2025-11-04T11:11:51Z</dcterms:created>
  <dcterms:modified xsi:type="dcterms:W3CDTF">2025-11-04T16:04:02Z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2025-11-04T11:40:22Z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fbd4be83-54c7-4c54-858a-3283a79a7b4f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