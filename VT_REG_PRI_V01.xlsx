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B029A10E-9702-4E0E-83A8-02AE18BA0276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43" l="1"/>
  <c r="F22" i="145"/>
  <c r="G22" i="145"/>
  <c r="H22" i="145"/>
  <c r="I22" i="145"/>
  <c r="J22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E12" i="145"/>
  <c r="E14" i="145"/>
  <c r="E9" i="145"/>
  <c r="M9" i="145"/>
  <c r="F9" i="145"/>
  <c r="G9" i="145"/>
  <c r="H9" i="145"/>
  <c r="I9" i="145"/>
  <c r="J9" i="145"/>
  <c r="K9" i="145"/>
  <c r="E13" i="145"/>
  <c r="E10" i="145"/>
  <c r="M10" i="145"/>
  <c r="F10" i="145"/>
  <c r="G10" i="145"/>
  <c r="H10" i="145"/>
  <c r="I10" i="145"/>
  <c r="J10" i="145"/>
  <c r="K10" i="145"/>
  <c r="P68" i="133"/>
  <c r="P67" i="133"/>
  <c r="N66" i="133"/>
  <c r="O66" i="133"/>
  <c r="M66" i="133"/>
  <c r="I67" i="133"/>
  <c r="E66" i="133"/>
  <c r="F66" i="133"/>
  <c r="G66" i="133"/>
  <c r="H66" i="133"/>
  <c r="D66" i="133"/>
  <c r="H55" i="133"/>
  <c r="H63" i="133"/>
  <c r="H68" i="133"/>
  <c r="G55" i="133"/>
  <c r="G63" i="133"/>
  <c r="G68" i="133"/>
  <c r="O68" i="133"/>
  <c r="F55" i="133"/>
  <c r="F63" i="133"/>
  <c r="F68" i="133"/>
  <c r="N68" i="133"/>
  <c r="G54" i="133"/>
  <c r="G62" i="133"/>
  <c r="G52" i="133"/>
  <c r="G53" i="133"/>
  <c r="G56" i="133"/>
  <c r="G64" i="133"/>
  <c r="G67" i="133"/>
  <c r="F54" i="133"/>
  <c r="F62" i="133"/>
  <c r="F52" i="133"/>
  <c r="F53" i="133"/>
  <c r="F56" i="133"/>
  <c r="F64" i="133"/>
  <c r="F67" i="133"/>
  <c r="N67" i="133"/>
  <c r="H54" i="133"/>
  <c r="H62" i="133"/>
  <c r="H52" i="133"/>
  <c r="H53" i="133"/>
  <c r="H56" i="133"/>
  <c r="H64" i="133"/>
  <c r="H67" i="133"/>
  <c r="O67" i="133"/>
  <c r="E55" i="133"/>
  <c r="E63" i="133"/>
  <c r="E68" i="133"/>
  <c r="M68" i="133"/>
  <c r="E54" i="133"/>
  <c r="E62" i="133"/>
  <c r="E52" i="133"/>
  <c r="E53" i="133"/>
  <c r="E56" i="133"/>
  <c r="E64" i="133"/>
  <c r="E67" i="133"/>
  <c r="M67" i="133"/>
  <c r="L67" i="133"/>
  <c r="I68" i="133"/>
  <c r="L68" i="133"/>
  <c r="J67" i="133"/>
  <c r="K67" i="133"/>
  <c r="J68" i="133"/>
  <c r="K68" i="133"/>
  <c r="D55" i="133"/>
  <c r="D63" i="133"/>
  <c r="D68" i="133"/>
  <c r="D54" i="133"/>
  <c r="D62" i="133"/>
  <c r="D52" i="133"/>
  <c r="D53" i="133"/>
  <c r="D56" i="133"/>
  <c r="D64" i="133"/>
  <c r="D67" i="133"/>
  <c r="O55" i="133"/>
  <c r="M13" i="145"/>
  <c r="F13" i="145"/>
  <c r="G13" i="145"/>
  <c r="H13" i="145"/>
  <c r="I13" i="145"/>
  <c r="J13" i="145"/>
  <c r="K13" i="145"/>
  <c r="O54" i="133"/>
  <c r="M12" i="145"/>
  <c r="F12" i="145"/>
  <c r="O56" i="133"/>
  <c r="M14" i="145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I25" i="137"/>
  <c r="E18" i="143"/>
  <c r="G27" i="143"/>
  <c r="D5" i="133"/>
  <c r="I23" i="137"/>
  <c r="E16" i="143"/>
  <c r="D6" i="133"/>
  <c r="I24" i="137"/>
  <c r="E17" i="143"/>
  <c r="G28" i="143"/>
  <c r="H27" i="143"/>
  <c r="F21" i="143"/>
  <c r="H28" i="143"/>
  <c r="F20" i="143"/>
  <c r="J18" i="133"/>
  <c r="I26" i="137"/>
  <c r="E19" i="143"/>
  <c r="G29" i="143"/>
  <c r="H29" i="143"/>
  <c r="I30" i="137"/>
  <c r="E21" i="143"/>
  <c r="E20" i="143"/>
  <c r="D18" i="143"/>
  <c r="C21" i="143"/>
  <c r="D21" i="143"/>
  <c r="D20" i="143"/>
  <c r="B21" i="143"/>
  <c r="C20" i="143"/>
  <c r="B20" i="143"/>
  <c r="B19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17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C19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5" i="143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D13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17" i="143"/>
  <c r="B16" i="143"/>
  <c r="C17" i="143"/>
  <c r="D2" i="143"/>
  <c r="O25" i="137"/>
  <c r="B25" i="137"/>
  <c r="D12" i="145"/>
  <c r="P7" i="143"/>
  <c r="B8" i="146"/>
  <c r="D40" i="133"/>
  <c r="E47" i="133"/>
  <c r="K47" i="133"/>
  <c r="D25" i="144"/>
  <c r="K17" i="144"/>
  <c r="K25" i="144"/>
  <c r="K5" i="144"/>
  <c r="K8" i="144"/>
  <c r="R16" i="143"/>
  <c r="P35" i="145"/>
  <c r="P51" i="145"/>
  <c r="P16" i="145"/>
  <c r="P19" i="145"/>
  <c r="P37" i="145"/>
  <c r="P18" i="145"/>
  <c r="P38" i="145"/>
  <c r="P54" i="145"/>
  <c r="P21" i="145"/>
  <c r="P55" i="145"/>
  <c r="P44" i="145"/>
  <c r="P29" i="145"/>
  <c r="P46" i="145"/>
  <c r="P31" i="145"/>
  <c r="P48" i="145"/>
  <c r="P33" i="145"/>
  <c r="P34" i="145"/>
  <c r="P36" i="145"/>
  <c r="P52" i="145"/>
  <c r="P17" i="145"/>
  <c r="P53" i="145"/>
  <c r="P20" i="145"/>
  <c r="P13" i="145"/>
  <c r="P39" i="145"/>
  <c r="P60" i="145"/>
  <c r="P61" i="145"/>
  <c r="P62" i="145"/>
  <c r="P47" i="145"/>
  <c r="P64" i="145"/>
  <c r="P65" i="145"/>
  <c r="P66" i="145"/>
  <c r="P22" i="145"/>
  <c r="P40" i="145"/>
  <c r="P56" i="145"/>
  <c r="P23" i="145"/>
  <c r="P41" i="145"/>
  <c r="P57" i="145"/>
  <c r="P26" i="145"/>
  <c r="P42" i="145"/>
  <c r="P58" i="145"/>
  <c r="P27" i="145"/>
  <c r="P43" i="145"/>
  <c r="P59" i="145"/>
  <c r="P28" i="145"/>
  <c r="P45" i="145"/>
  <c r="P30" i="145"/>
  <c r="P63" i="145"/>
  <c r="P32" i="145"/>
  <c r="P49" i="145"/>
  <c r="P50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<sst xmlns="http://schemas.openxmlformats.org/spreadsheetml/2006/main" count="906" uniqueCount="470">
  <si>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</si>
  <si>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</si>
  <si>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</si>
  <si>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</si>
  <si>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</si>
  <si>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</si>
  <si>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</si>
  <si>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</si>
  <si>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</si>
  <si>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</si>
  <si>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</si>
  <si>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</si>
  <si>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</si>
  <si>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</si>
  <si>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</si>
  <si>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</si>
  <si>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</si>
  <si>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</si>
  <si>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</si>
  <si>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</si>
  <si>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</si>
  <si>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</si>
  <si>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</si>
  <si>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</si>
  <si>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</si>
  <si>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</si>
  <si>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</si>
  <si>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</si>
  <si>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</si>
  <si>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</si>
  <si>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</si>
  <si>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</si>
  <si>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</si>
  <si>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</si>
  <si>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</si>
  <si>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</si>
  <si>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</si>
  <si>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</si>
  <si>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</si>
  <si>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</si>
  <si>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</si>
  <si>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</si>
  <si>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</si>
  <si>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</si>
  <si>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</si>
  <si>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</si>
  <si>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</si>
  <si>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</si>
  <si>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</si>
  <si>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</si>
  <si>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</si>
  <si>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</si>
  <si>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</si>
  <si>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</si>
  <si>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</si>
  <si>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</si>
  <si>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</si>
  <si>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</si>
  <si>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</si>
  <si>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</si>
  <si>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</si>
  <si>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</si>
  <si>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</si>
  <si>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</si>
  <si>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</si>
  <si>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</si>
  <si>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</si>
  <si>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</si>
  <si>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</si>
  <si>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</si>
  <si>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</si>
  <si>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</si>
  <si>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</si>
  <si>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</si>
  <si>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</si>
  <si>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</si>
  <si>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</si>
  <si>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</si>
  <si>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</si>
  <si>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</si>
  <si>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</si>
  <si>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</si>
  <si>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</si>
  <si>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</si>
  <si>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</si>
  <si>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</si>
  <si>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</si>
  <si>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</si>
  <si>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</si>
  <si>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</si>
  <si>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</si>
  <si>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</si>
  <si>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</si>
  <si>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</si>
  <si>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</si>
  <si>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</si>
  <si>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</si>
  <si>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</si>
  <si>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</si>
  <si>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</si>
  <si>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</si>
  <si>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</si>
  <si>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</si>
  <si>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</si>
  <si>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</si>
  <si>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</si>
  <si>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</si>
  <si>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</si>
  <si>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</si>
  <si>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</si>
  <si>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</si>
  <si>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</si>
  <si>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</si>
  <si>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</si>
  <si>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</si>
  <si>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</si>
  <si>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</si>
  <si>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</si>
  <si>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</si>
  <si>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</si>
  <si>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</si>
  <si>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</si>
  <si>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</si>
  <si>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</si>
  <si>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</si>
  <si>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</si>
  <si>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</si>
  <si>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</si>
  <si>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</si>
  <si>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</si>
  <si>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</si>
  <si>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</si>
  <si>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</si>
  <si>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</si>
  <si>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</si>
  <si>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</si>
  <si>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</si>
  <si>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</si>
  <si>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</si>
  <si>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</si>
  <si>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</si>
  <si>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</si>
  <si>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</si>
  <si>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</si>
  <si>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</si>
  <si>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</si>
  <si>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</si>
  <si>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</si>
  <si>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</si>
  <si>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</si>
  <si>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</si>
  <si>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</si>
  <si>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</si>
  <si>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</si>
  <si>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</si>
  <si>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</si>
  <si>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</si>
  <si>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</si>
  <si>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</si>
  <si>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</si>
  <si>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</si>
  <si>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</si>
  <si>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</si>
  <si>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</si>
  <si>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</si>
  <si>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</si>
  <si>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</si>
  <si>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</si>
  <si>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</si>
  <si>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</si>
  <si>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</si>
  <si>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</si>
  <si>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</si>
  <si>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</si>
  <si>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</si>
  <si>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</si>
  <si>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</si>
  <si>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</si>
  <si>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</si>
  <si>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</si>
  <si>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</si>
  <si>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</si>
  <si>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</si>
  <si>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</si>
  <si>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</si>
  <si>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</si>
  <si>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</si>
  <si>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</si>
  <si>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</si>
  <si>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</si>
  <si>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</si>
  <si>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</si>
  <si>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</si>
  <si>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</si>
  <si>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</si>
  <si>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</si>
  <si>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</si>
  <si>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</si>
  <si>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</si>
  <si>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</si>
  <si>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</si>
  <si>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</si>
  <si>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</si>
  <si>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</si>
  <si>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</si>
  <si>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</si>
  <si>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</si>
  <si>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</si>
  <si>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</si>
  <si>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</si>
  <si>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</si>
  <si>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</si>
  <si>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</si>
  <si>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</si>
  <si>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</si>
  <si>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</si>
  <si>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</si>
  <si>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</si>
  <si>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</si>
  <si>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</si>
  <si>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</si>
  <si>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</si>
  <si>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</si>
  <si>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</si>
  <si>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</si>
  <si>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</si>
  <si>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</si>
  <si>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</si>
  <si>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</si>
  <si>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</si>
  <si>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</si>
  <si>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</si>
  <si>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</si>
  <si>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</si>
  <si>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</si>
  <si>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</si>
  <si>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</si>
  <si>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</si>
  <si>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</si>
  <si>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</si>
  <si>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</si>
  <si>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</si>
  <si>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</si>
  <si>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</si>
  <si>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</si>
  <si>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</si>
  <si>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</si>
  <si>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</si>
  <si>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</si>
  <si>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</si>
  <si>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</si>
  <si>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</si>
  <si>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</si>
  <si>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</si>
  <si>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</si>
  <si>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</si>
  <si>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</si>
  <si>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</si>
  <si>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</si>
  <si>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</si>
  <si>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</si>
  <si>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</si>
  <si>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</si>
  <si>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</si>
  <si>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</si>
  <si>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</si>
  <si>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</si>
  <si>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</si>
  <si>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</si>
  <si>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</si>
  <si>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</si>
  <si>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</si>
  <si>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</si>
  <si>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</si>
  <si>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</si>
  <si>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</si>
  <si>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</si>
  <si>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</si>
  <si>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</si>
  <si>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</si>
  <si>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</si>
  <si>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</si>
  <si>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</si>
  <si>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</si>
  <si>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</si>
  <si>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</si>
  <si>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</si>
  <si>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</si>
  <si>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</si>
  <si>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</si>
  <si>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</si>
  <si>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</si>
  <si>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</si>
  <si>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</si>
  <si>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</si>
  <si>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</si>
  <si>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</si>
  <si>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</si>
  <si>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</si>
  <si>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</si>
  <si>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</si>
  <si>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</si>
  <si>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</si>
  <si>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</si>
  <si>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</si>
  <si>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</si>
  <si>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</si>
  <si>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</si>
  <si>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</si>
  <si>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</si>
  <si>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</si>
  <si>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</si>
  <si>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</si>
  <si>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</si>
  <si>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</si>
  <si>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</si>
  <si>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</si>
  <si>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</si>
  <si>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</si>
  <si>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</si>
  <si>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</si>
  <si>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</si>
  <si>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</si>
  <si>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</si>
  <si>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</si>
  <si>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</si>
  <si>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</si>
  <si>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</si>
  <si>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</si>
  <si>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</si>
  <si>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</si>
  <si>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</si>
  <si>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</si>
  <si>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</si>
  <si>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</si>
  <si>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</si>
  <si>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</si>
  <si>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</si>
  <si>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</si>
  <si>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</si>
  <si>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</si>
  <si>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</si>
  <si>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</si>
  <si>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</si>
  <si>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</si>
  <si>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</si>
  <si>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</si>
  <si>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</si>
  <si>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</si>
  <si>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</si>
  <si>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</si>
  <si>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</si>
  <si>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</si>
  <si>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</si>
  <si>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</si>
  <si>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</si>
  <si>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</si>
  <si>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</si>
  <si>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</si>
  <si>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</si>
  <si>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</si>
  <si>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</si>
  <si>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</si>
  <si>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</si>
  <si>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</si>
  <si>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</si>
  <si>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</si>
  <si>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</si>
  <si>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</si>
  <si>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</si>
  <si>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</si>
  <si>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</si>
  <si>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</si>
  <si>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</si>
  <si>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</si>
  <si>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</si>
  <si>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</si>
  <si>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</si>
  <si>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</si>
  <si>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</si>
  <si>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</si>
  <si>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</si>
  <si>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</si>
  <si>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</si>
  <si>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</si>
  <si>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</si>
  <si>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</si>
  <si>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</si>
  <si>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</si>
  <si>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</si>
  <si>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</si>
  <si>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</si>
  <si>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</si>
  <si>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</si>
  <si>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</si>
  <si>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</si>
  <si>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</si>
  <si>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</si>
  <si>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</si>
  <si>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</si>
  <si>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</si>
  <si>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</si>
  <si>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</si>
  <si>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</si>
  <si>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</si>
  <si>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</si>
  <si>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</si>
  <si>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</si>
  <si>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</si>
  <si>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</si>
  <si>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</si>
  <si>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</si>
  <si>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</si>
  <si>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</si>
  <si>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</si>
  <si>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</si>
  <si>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</si>
  <si>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</si>
  <si>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</si>
  <si>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</si>
  <si>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</si>
  <si>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</si>
  <si>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</si>
  <si>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</si>
  <si>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</si>
  <si>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</si>
  <si>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</si>
  <si>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</si>
  <si>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</si>
  <si>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</si>
  <si>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</si>
  <si>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</si>
  <si>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</si>
  <si>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</si>
  <si>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</si>
  <si>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</si>
  <si>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</si>
  <si>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</si>
  <si>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</si>
  <si>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</si>
  <si>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</si>
  <si>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</si>
  <si>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</si>
  <si>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</si>
  <si>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</si>
  <si>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</si>
  <si>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</si>
  <si>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</si>
  <si>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</si>
  <si>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</si>
  <si>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</si>
  <si>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</si>
  <si>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</si>
  <si>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</si>
  <si>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</si>
  <si>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</si>
  <si>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</si>
  <si>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</si>
  <si>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</si>
  <si>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</si>
  <si>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</si>
  <si>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</si>
  <si>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</si>
  <si>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</si>
  <si>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</si>
  <si>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Manufacturing heat from oil</t>
  </si>
  <si>
    <t>Manufacturing heat from coal</t>
  </si>
  <si>
    <t>HEAT</t>
  </si>
  <si>
    <t>Heat aggrigator</t>
  </si>
  <si>
    <t>Manufacturing 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</si>
</sst>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6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" fontId="23" fillId="3" borderId="0" xfId="31" applyNumberFormat="1" applyFont="1" applyBorder="1" applyAlignment="1">
      <alignment horizontal="left" wrapText="1"/>
    </xf>
    <xf numFmtId="9" fontId="28" fillId="14" borderId="0" xfId="0" applyNumberFormat="1" applyFont="1" applyFill="1" applyAlignment="1">
      <alignment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4" t="s">
        <v>142</v>
      </c>
      <c r="B2" s="285"/>
      <c r="C2" s="285"/>
      <c r="D2" s="285"/>
      <c r="E2" s="286"/>
      <c r="F2" s="284" t="s">
        <v>258</v>
      </c>
      <c r="G2" s="285"/>
      <c r="H2" s="285"/>
      <c r="I2" s="286"/>
      <c r="J2" s="290" t="s">
        <v>259</v>
      </c>
      <c r="K2" s="291"/>
      <c r="L2" s="291"/>
      <c r="M2" s="292"/>
      <c r="N2" s="284" t="s">
        <v>260</v>
      </c>
      <c r="O2" s="285"/>
      <c r="P2" s="285"/>
      <c r="Q2" s="285"/>
      <c r="R2" s="286"/>
      <c r="V2" s="179" t="s">
        <v>142</v>
      </c>
      <c r="W2" s="281" t="s">
        <v>261</v>
      </c>
      <c r="X2" s="282"/>
      <c r="Y2" s="282"/>
      <c r="Z2" s="282"/>
      <c r="AA2" s="283"/>
      <c r="AB2" s="281" t="s">
        <v>262</v>
      </c>
      <c r="AC2" s="282"/>
      <c r="AD2" s="282"/>
      <c r="AE2" s="282"/>
      <c r="AF2" s="283"/>
    </row>
    <row r="3" spans="1:32" ht="24.6" customHeight="1" thickBot="1" x14ac:dyDescent="0.3">
      <c r="A3" s="284" t="s">
        <v>263</v>
      </c>
      <c r="B3" s="285"/>
      <c r="C3" s="285"/>
      <c r="D3" s="285"/>
      <c r="E3" s="286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7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8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8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8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8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8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8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9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7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8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8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8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8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8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8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9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5" t="s">
        <v>352</v>
      </c>
      <c r="D1" s="295"/>
      <c r="E1" s="295"/>
      <c r="F1" s="295"/>
      <c r="G1" s="295" t="s">
        <v>353</v>
      </c>
      <c r="H1" s="295"/>
      <c r="I1" s="295"/>
      <c r="J1" s="295"/>
      <c r="K1" s="295" t="s">
        <v>354</v>
      </c>
      <c r="L1" s="295"/>
      <c r="M1" s="295" t="s">
        <v>355</v>
      </c>
      <c r="N1" s="295"/>
      <c r="O1" s="295" t="s">
        <v>356</v>
      </c>
      <c r="P1" s="295"/>
      <c r="Q1" s="295"/>
      <c r="R1" s="295" t="s">
        <v>356</v>
      </c>
      <c r="S1" s="295"/>
      <c r="T1" s="295"/>
      <c r="U1" s="295" t="s">
        <v>356</v>
      </c>
      <c r="V1" s="295"/>
      <c r="W1" s="295"/>
      <c r="X1" s="20" t="s">
        <v>357</v>
      </c>
      <c r="Y1" s="295" t="s">
        <v>358</v>
      </c>
      <c r="Z1" s="295"/>
      <c r="AA1" s="295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5" t="s">
        <v>360</v>
      </c>
      <c r="P2" s="295"/>
      <c r="Q2" s="295"/>
      <c r="R2" s="295" t="s">
        <v>363</v>
      </c>
      <c r="S2" s="295"/>
      <c r="T2" s="295"/>
      <c r="U2" s="295" t="s">
        <v>362</v>
      </c>
      <c r="V2" s="295"/>
      <c r="W2" s="295"/>
      <c r="X2" s="20" t="s">
        <v>112</v>
      </c>
      <c r="Y2" s="295" t="s">
        <v>364</v>
      </c>
      <c r="Z2" s="295"/>
      <c r="AA2" s="295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3" t="str">
        <f t="shared" si="1"/>
        <v>Installation Cost per kW</v>
      </c>
      <c r="D17" s="293"/>
      <c r="E17" s="293"/>
      <c r="F17" s="293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4" t="s">
        <v>414</v>
      </c>
      <c r="D42" s="294"/>
      <c r="E42" s="294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6" zoomScale="122" zoomScaleNormal="122" workbookViewId="0">
      <selection activeCell="P67" sqref="P6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1" si="4">G53/E53</f>
        <v>1.372765656211179</v>
      </c>
      <c r="J53" s="253">
        <f t="shared" ref="J53:J68" si="5">1/(G$51-E$51)</f>
        <v>0.5</v>
      </c>
      <c r="K53" s="263">
        <f t="shared" ref="K53:K68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4"/>
        <v>1.0345078173552369</v>
      </c>
      <c r="J54" s="258">
        <f t="shared" si="5"/>
        <v>0.5</v>
      </c>
      <c r="K54" s="264">
        <f t="shared" si="6"/>
        <v>1.7107574131289605E-2</v>
      </c>
      <c r="L54" s="259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4"/>
        <v>1.1774614468001567</v>
      </c>
      <c r="J55" s="255">
        <f t="shared" si="5"/>
        <v>0.5</v>
      </c>
      <c r="K55" s="265">
        <f t="shared" si="6"/>
        <v>8.5108956188343576E-2</v>
      </c>
      <c r="L55" s="256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60">
        <f>D52+D53</f>
        <v>4447.650555555555</v>
      </c>
      <c r="E56" s="260">
        <f t="shared" ref="E56:H56" si="9">E52+E53</f>
        <v>3906.7316666666666</v>
      </c>
      <c r="F56" s="260">
        <f t="shared" si="9"/>
        <v>4859.4383333333335</v>
      </c>
      <c r="G56" s="260">
        <f t="shared" si="9"/>
        <v>7676.0611111111102</v>
      </c>
      <c r="H56" s="260">
        <f t="shared" si="9"/>
        <v>8151.0666666666657</v>
      </c>
      <c r="I56" s="253">
        <f t="shared" si="4"/>
        <v>1.9648293678845217</v>
      </c>
      <c r="J56" s="253">
        <f t="shared" si="5"/>
        <v>0.5</v>
      </c>
      <c r="K56" s="263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60">
        <f>D54+D56</f>
        <v>6980.9844444444443</v>
      </c>
      <c r="E57" s="260">
        <f t="shared" ref="E57:H57" si="10">E54+E56</f>
        <v>6424.9533333333329</v>
      </c>
      <c r="F57" s="260">
        <f t="shared" si="10"/>
        <v>7390.9938888888892</v>
      </c>
      <c r="G57" s="260">
        <f t="shared" si="10"/>
        <v>10281.181111111111</v>
      </c>
      <c r="H57" s="260">
        <f t="shared" si="10"/>
        <v>10943.013333333332</v>
      </c>
      <c r="I57" s="253">
        <f t="shared" si="4"/>
        <v>1.6001954532138409</v>
      </c>
      <c r="J57" s="253">
        <f t="shared" si="5"/>
        <v>0.5</v>
      </c>
      <c r="K57" s="263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3"/>
      <c r="J58" s="253"/>
      <c r="K58" s="263"/>
      <c r="L58" s="113"/>
      <c r="M58" s="113"/>
      <c r="N58" s="113"/>
      <c r="O58" s="113"/>
    </row>
    <row r="59" spans="2:15" x14ac:dyDescent="0.2">
      <c r="C59" t="s">
        <v>437</v>
      </c>
      <c r="I59" s="253"/>
      <c r="J59" s="253"/>
      <c r="K59" s="263"/>
      <c r="L59" s="113"/>
      <c r="M59" s="113"/>
      <c r="N59" s="113"/>
      <c r="O59" s="113"/>
    </row>
    <row r="60" spans="2:15" x14ac:dyDescent="0.2">
      <c r="C60" t="s">
        <v>445</v>
      </c>
      <c r="I60" s="253"/>
      <c r="J60" s="253"/>
      <c r="K60" s="263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3">
        <f t="shared" si="4"/>
        <v>1.000990099009901</v>
      </c>
      <c r="J61" s="253">
        <f t="shared" si="5"/>
        <v>0.5</v>
      </c>
      <c r="K61" s="263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2">0.8*E54</f>
        <v>2014.5773333333336</v>
      </c>
      <c r="F62" s="260">
        <f t="shared" si="12"/>
        <v>2025.2444444444445</v>
      </c>
      <c r="G62" s="260">
        <f t="shared" si="12"/>
        <v>2084.0960000000005</v>
      </c>
      <c r="H62" s="260">
        <f t="shared" si="12"/>
        <v>2233.5573333333336</v>
      </c>
      <c r="I62" s="253">
        <f>H62/G62</f>
        <v>1.0717151865045242</v>
      </c>
      <c r="J62" s="253">
        <f t="shared" si="5"/>
        <v>0.5</v>
      </c>
      <c r="K62" s="263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3">E55*$B$63</f>
        <v>2430.2799722222217</v>
      </c>
      <c r="F63" s="260">
        <f t="shared" si="13"/>
        <v>2683.0269444444443</v>
      </c>
      <c r="G63" s="260">
        <f t="shared" si="13"/>
        <v>2861.5609722222221</v>
      </c>
      <c r="H63" s="260">
        <f t="shared" si="13"/>
        <v>3440.232361111111</v>
      </c>
      <c r="I63" s="253">
        <f>H63/G63</f>
        <v>1.2022222816519286</v>
      </c>
      <c r="J63" s="253">
        <f t="shared" si="5"/>
        <v>0.5</v>
      </c>
      <c r="K63" s="263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4">0.55*E56</f>
        <v>2148.702416666667</v>
      </c>
      <c r="F64" s="260">
        <f t="shared" si="14"/>
        <v>2672.6910833333336</v>
      </c>
      <c r="G64" s="260">
        <f t="shared" si="14"/>
        <v>4221.8336111111112</v>
      </c>
      <c r="H64" s="260">
        <f t="shared" si="14"/>
        <v>4483.0866666666661</v>
      </c>
      <c r="I64" s="253">
        <f>H64/G64</f>
        <v>1.0618814192174659</v>
      </c>
      <c r="J64" s="253">
        <f t="shared" si="5"/>
        <v>0.5</v>
      </c>
      <c r="K64" s="263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6" x14ac:dyDescent="0.2">
      <c r="D65" s="260"/>
      <c r="E65" s="260"/>
      <c r="F65" s="260"/>
      <c r="G65" s="260"/>
      <c r="H65" s="260"/>
      <c r="I65" s="253"/>
      <c r="J65" s="253"/>
      <c r="K65" s="263"/>
      <c r="L65" s="113"/>
      <c r="M65" s="113"/>
      <c r="N65" s="113"/>
      <c r="O65" s="113"/>
    </row>
    <row r="66" spans="2:16" x14ac:dyDescent="0.2">
      <c r="D66">
        <f>D51</f>
        <v>2019</v>
      </c>
      <c r="E66">
        <f t="shared" ref="E66:H66" si="15">E51</f>
        <v>2020</v>
      </c>
      <c r="F66">
        <f t="shared" si="15"/>
        <v>2021</v>
      </c>
      <c r="G66">
        <f t="shared" si="15"/>
        <v>2022</v>
      </c>
      <c r="H66">
        <f t="shared" si="15"/>
        <v>2023</v>
      </c>
      <c r="I66" s="253"/>
      <c r="J66" s="253"/>
      <c r="K66" s="263"/>
      <c r="L66" s="113"/>
      <c r="M66" s="113" t="str">
        <f>M51</f>
        <v>20-21</v>
      </c>
      <c r="N66" s="113" t="str">
        <f t="shared" ref="N66:O66" si="16">N51</f>
        <v>21-22</v>
      </c>
      <c r="O66" s="113" t="str">
        <f t="shared" si="16"/>
        <v>22-23</v>
      </c>
      <c r="P66" t="s">
        <v>350</v>
      </c>
    </row>
    <row r="67" spans="2:16" x14ac:dyDescent="0.2">
      <c r="C67" t="s">
        <v>461</v>
      </c>
      <c r="D67" s="260">
        <f>D62+D64</f>
        <v>4472.8749166666666</v>
      </c>
      <c r="E67" s="260">
        <f t="shared" ref="E67:H67" si="17">E62+E64</f>
        <v>4163.2797500000006</v>
      </c>
      <c r="F67" s="260">
        <f t="shared" si="17"/>
        <v>4697.9355277777777</v>
      </c>
      <c r="G67" s="260">
        <f t="shared" si="17"/>
        <v>6305.9296111111116</v>
      </c>
      <c r="H67" s="260">
        <f t="shared" si="17"/>
        <v>6716.6440000000002</v>
      </c>
      <c r="I67" s="253">
        <f t="shared" ref="I67:I68" si="18">H67/G67</f>
        <v>1.0651314578845292</v>
      </c>
      <c r="J67" s="253">
        <f t="shared" si="5"/>
        <v>0.5</v>
      </c>
      <c r="K67" s="263">
        <f t="shared" si="6"/>
        <v>3.2052061615367E-2</v>
      </c>
      <c r="L67" s="113">
        <f t="shared" ref="L67:L68" si="19">(I67-1)/(H$51-G$51)</f>
        <v>6.5131457884529231E-2</v>
      </c>
      <c r="M67" s="113">
        <f>(F67/E67-1)^1</f>
        <v>0.12842177559117363</v>
      </c>
      <c r="N67" s="113">
        <f t="shared" ref="N67:O68" si="20">(G67/F67-1)^1</f>
        <v>0.34227674556741916</v>
      </c>
      <c r="O67" s="113">
        <f t="shared" si="20"/>
        <v>6.5131457884529231E-2</v>
      </c>
      <c r="P67" s="113">
        <f>(M67+N67+O67)/3</f>
        <v>0.178609993014374</v>
      </c>
    </row>
    <row r="68" spans="2:16" x14ac:dyDescent="0.2">
      <c r="C68" t="s">
        <v>167</v>
      </c>
      <c r="D68" s="260">
        <f>D63</f>
        <v>2791.0050000000001</v>
      </c>
      <c r="E68" s="260">
        <f t="shared" ref="E68:H68" si="21">E63</f>
        <v>2430.2799722222217</v>
      </c>
      <c r="F68" s="260">
        <f t="shared" si="21"/>
        <v>2683.0269444444443</v>
      </c>
      <c r="G68" s="260">
        <f t="shared" si="21"/>
        <v>2861.5609722222221</v>
      </c>
      <c r="H68" s="260">
        <f t="shared" si="21"/>
        <v>3440.232361111111</v>
      </c>
      <c r="I68" s="253">
        <f t="shared" si="18"/>
        <v>1.2022222816519286</v>
      </c>
      <c r="J68" s="253">
        <f t="shared" si="5"/>
        <v>0.5</v>
      </c>
      <c r="K68" s="263">
        <f t="shared" si="6"/>
        <v>9.6458973993978736E-2</v>
      </c>
      <c r="L68" s="113">
        <f t="shared" si="19"/>
        <v>0.20222228165192857</v>
      </c>
      <c r="M68" s="113">
        <f>(F68/E68-1)^1</f>
        <v>0.10399911743136059</v>
      </c>
      <c r="N68" s="113">
        <f t="shared" si="20"/>
        <v>6.6542018203527675E-2</v>
      </c>
      <c r="O68" s="113">
        <f t="shared" si="20"/>
        <v>0.20222228165192857</v>
      </c>
      <c r="P68" s="113">
        <f>(M68+N68+O68)/3</f>
        <v>0.12425447242893894</v>
      </c>
    </row>
    <row r="69" spans="2:16" x14ac:dyDescent="0.2">
      <c r="J69" s="113"/>
      <c r="K69" s="116"/>
    </row>
    <row r="70" spans="2:16" x14ac:dyDescent="0.2">
      <c r="J70" s="113"/>
      <c r="K70" s="116"/>
    </row>
    <row r="72" spans="2:16" x14ac:dyDescent="0.2">
      <c r="C72" s="80" t="s">
        <v>145</v>
      </c>
      <c r="D72" s="81" t="s">
        <v>146</v>
      </c>
      <c r="E72" s="82" t="s">
        <v>147</v>
      </c>
    </row>
    <row r="73" spans="2:16" x14ac:dyDescent="0.2">
      <c r="B73" s="12" t="s">
        <v>144</v>
      </c>
      <c r="C73" s="83" t="s">
        <v>148</v>
      </c>
      <c r="D73" s="83" t="s">
        <v>149</v>
      </c>
      <c r="E73" s="84" t="s">
        <v>147</v>
      </c>
    </row>
    <row r="74" spans="2:16" x14ac:dyDescent="0.2">
      <c r="B74" s="29" t="s">
        <v>131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P13" sqref="P13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>
        <f>I25/J25</f>
        <v>297.38815164493155</v>
      </c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zoomScale="118" zoomScaleNormal="118" workbookViewId="0">
      <selection activeCell="B20" sqref="B20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160" t="s">
        <v>74</v>
      </c>
      <c r="O5" s="160"/>
      <c r="P5" s="160" t="s">
        <v>451</v>
      </c>
      <c r="Q5" s="160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$B$2&amp;EBF!C72</f>
        <v>MANCO2</v>
      </c>
      <c r="Q7" s="93" t="str">
        <f>$C$2&amp;" "&amp;EBF!C72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160" t="s">
        <v>74</v>
      </c>
      <c r="O8" s="160"/>
      <c r="P8" s="160" t="s">
        <v>452</v>
      </c>
      <c r="Q8" s="160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267" t="s">
        <v>82</v>
      </c>
      <c r="O9" s="93"/>
      <c r="P9" s="267" t="s">
        <v>461</v>
      </c>
      <c r="Q9" s="267" t="s">
        <v>462</v>
      </c>
      <c r="R9" s="267" t="s">
        <v>162</v>
      </c>
      <c r="S9" s="93"/>
      <c r="T9" s="93"/>
      <c r="U9" s="93"/>
      <c r="V9" s="93"/>
    </row>
    <row r="10" spans="2:22" x14ac:dyDescent="0.2">
      <c r="N10" s="267" t="s">
        <v>74</v>
      </c>
      <c r="O10" s="93"/>
      <c r="P10" s="267" t="s">
        <v>464</v>
      </c>
      <c r="Q10" s="267" t="s">
        <v>468</v>
      </c>
      <c r="R10" s="267" t="s">
        <v>162</v>
      </c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163" t="s">
        <v>467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163" t="s">
        <v>467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>P$5</f>
        <v>MANHEATOIL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tr">
        <f>P18</f>
        <v>MANELC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N19" s="159" t="s">
        <v>467</v>
      </c>
      <c r="P19" s="159" t="s">
        <v>464</v>
      </c>
      <c r="Q19" s="159" t="s">
        <v>463</v>
      </c>
      <c r="R19" s="97" t="s">
        <v>162</v>
      </c>
      <c r="S19" s="97" t="s">
        <v>154</v>
      </c>
      <c r="T19" s="172"/>
    </row>
    <row r="20" spans="2:22" s="159" customFormat="1" x14ac:dyDescent="0.2">
      <c r="B20" s="97" t="str">
        <f>P19</f>
        <v>PHEAT</v>
      </c>
      <c r="C20" s="160" t="str">
        <f>DemTechs_INDF!D16</f>
        <v>MANHEATCOAL</v>
      </c>
      <c r="D20" s="93" t="str">
        <f>P9</f>
        <v>MANHEAT</v>
      </c>
      <c r="E20" s="161">
        <f>E16+E17</f>
        <v>876.26278572760293</v>
      </c>
      <c r="F20" s="162">
        <f>H28</f>
        <v>0.66950218634932424</v>
      </c>
      <c r="G20" s="159">
        <v>1</v>
      </c>
      <c r="H20" s="159">
        <v>1</v>
      </c>
      <c r="I20" s="159">
        <v>1</v>
      </c>
      <c r="J20" s="159">
        <v>9999</v>
      </c>
      <c r="K20" s="159">
        <v>1010</v>
      </c>
      <c r="N20" s="159" t="s">
        <v>467</v>
      </c>
      <c r="P20" s="159" t="s">
        <v>451</v>
      </c>
      <c r="Q20" s="159" t="s">
        <v>465</v>
      </c>
      <c r="R20" s="97" t="s">
        <v>162</v>
      </c>
      <c r="S20" s="97" t="s">
        <v>154</v>
      </c>
    </row>
    <row r="21" spans="2:22" s="159" customFormat="1" x14ac:dyDescent="0.2">
      <c r="B21" s="97" t="str">
        <f>P19</f>
        <v>PHEAT</v>
      </c>
      <c r="C21" s="160" t="str">
        <f>D18</f>
        <v>MANHEATOIL</v>
      </c>
      <c r="D21" s="93" t="str">
        <f>P9</f>
        <v>MANHEAT</v>
      </c>
      <c r="E21" s="161">
        <f>E18</f>
        <v>297.38815164493155</v>
      </c>
      <c r="F21" s="162">
        <f>H27</f>
        <v>0.33049781365067582</v>
      </c>
      <c r="G21" s="159">
        <v>1</v>
      </c>
      <c r="H21" s="159">
        <v>1</v>
      </c>
      <c r="I21" s="159">
        <v>1</v>
      </c>
      <c r="J21" s="159">
        <v>9999</v>
      </c>
      <c r="K21" s="159">
        <v>1010</v>
      </c>
      <c r="N21" s="159" t="s">
        <v>467</v>
      </c>
      <c r="P21" s="159" t="s">
        <v>452</v>
      </c>
      <c r="Q21" s="159" t="s">
        <v>466</v>
      </c>
      <c r="R21" s="97" t="s">
        <v>162</v>
      </c>
      <c r="S21" s="97" t="s">
        <v>154</v>
      </c>
    </row>
    <row r="22" spans="2:22" s="159" customFormat="1" x14ac:dyDescent="0.2">
      <c r="B22" s="97"/>
      <c r="C22" s="160"/>
      <c r="D22" s="93"/>
      <c r="E22" s="161"/>
      <c r="F22" s="162"/>
      <c r="N22" s="159" t="s">
        <v>113</v>
      </c>
      <c r="P22" s="159" t="s">
        <v>461</v>
      </c>
      <c r="Q22" s="159" t="s">
        <v>469</v>
      </c>
      <c r="R22" s="97" t="s">
        <v>162</v>
      </c>
      <c r="S22" s="97" t="s">
        <v>154</v>
      </c>
    </row>
    <row r="23" spans="2:22" s="159" customFormat="1" x14ac:dyDescent="0.2">
      <c r="B23" s="97"/>
      <c r="C23" s="160"/>
      <c r="D23" s="93"/>
      <c r="E23" s="161"/>
      <c r="F23" s="162"/>
      <c r="S23" s="97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>
        <v>2022</v>
      </c>
      <c r="H26" s="159">
        <v>2022</v>
      </c>
      <c r="I26" s="159"/>
      <c r="J26" s="159"/>
      <c r="K26" s="159"/>
    </row>
    <row r="27" spans="2:22" x14ac:dyDescent="0.2">
      <c r="E27" s="163" t="s">
        <v>451</v>
      </c>
      <c r="F27" s="110"/>
      <c r="G27" s="91">
        <f>E18*G18*8.76</f>
        <v>2084.0961667276806</v>
      </c>
      <c r="H27" s="278">
        <f>G27/(G27+G28)</f>
        <v>0.33049781365067582</v>
      </c>
      <c r="R27" s="93"/>
      <c r="S27" s="93"/>
      <c r="T27" s="171"/>
    </row>
    <row r="28" spans="2:22" x14ac:dyDescent="0.2">
      <c r="E28" s="163" t="s">
        <v>452</v>
      </c>
      <c r="F28" s="110"/>
      <c r="G28" s="91">
        <f>G16*E16*8.76+G17*E17*8.76</f>
        <v>4221.8341016355907</v>
      </c>
      <c r="H28" s="278">
        <f>G28/(G27+G28)</f>
        <v>0.66950218634932424</v>
      </c>
      <c r="O28" s="114"/>
      <c r="Q28" s="114"/>
      <c r="R28" s="115"/>
      <c r="S28" s="115"/>
    </row>
    <row r="29" spans="2:22" x14ac:dyDescent="0.2">
      <c r="E29" s="163" t="s">
        <v>167</v>
      </c>
      <c r="F29" s="110"/>
      <c r="G29" s="21">
        <f>E19*8.76</f>
        <v>2861.5612011470998</v>
      </c>
      <c r="H29" s="111">
        <f>G29/G29</f>
        <v>1</v>
      </c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7"/>
  <sheetViews>
    <sheetView topLeftCell="A3" zoomScale="226" zoomScaleNormal="226" workbookViewId="0">
      <selection activeCell="E10" sqref="E1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15.75" customHeight="1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x14ac:dyDescent="0.2">
      <c r="B9" s="148" t="s">
        <v>181</v>
      </c>
      <c r="C9" s="148" t="s">
        <v>461</v>
      </c>
      <c r="D9" s="148" t="s">
        <v>162</v>
      </c>
      <c r="E9" s="279">
        <f>E12+E14</f>
        <v>6305.9296111111116</v>
      </c>
      <c r="F9" s="279">
        <f>E9*(1+$M$9)^(F6-E6)</f>
        <v>10324.27290099391</v>
      </c>
      <c r="G9" s="279">
        <f t="shared" ref="G9:K9" si="0">F9*(1+$M$9)^(G6-F6)</f>
        <v>23480.647603852085</v>
      </c>
      <c r="H9" s="279">
        <f t="shared" si="0"/>
        <v>53402.38651026044</v>
      </c>
      <c r="I9" s="279">
        <f t="shared" si="0"/>
        <v>121453.84288819171</v>
      </c>
      <c r="J9" s="279">
        <f t="shared" si="0"/>
        <v>276224.28352477046</v>
      </c>
      <c r="K9" s="279">
        <f t="shared" si="0"/>
        <v>628221.00144672324</v>
      </c>
      <c r="L9" s="148"/>
      <c r="M9" s="280">
        <f>EBF!P67</f>
        <v>0.178609993014374</v>
      </c>
      <c r="N9" s="126"/>
      <c r="O9" s="128"/>
      <c r="P9" s="128"/>
      <c r="Q9" s="128"/>
      <c r="R9" s="128"/>
    </row>
    <row r="10" spans="2:18" x14ac:dyDescent="0.2">
      <c r="B10" s="148" t="s">
        <v>181</v>
      </c>
      <c r="C10" s="148" t="str">
        <f>C13</f>
        <v>MANELC</v>
      </c>
      <c r="D10" s="148" t="s">
        <v>162</v>
      </c>
      <c r="E10" s="279">
        <f>E13</f>
        <v>2861.5609722222221</v>
      </c>
      <c r="F10" s="279">
        <f>E10*(1+$M$10)^(F6-E6)</f>
        <v>4066.2762112692412</v>
      </c>
      <c r="G10" s="279">
        <f t="shared" ref="G10:K10" si="1">F10*(1+$M$10)^(G6-F6)</f>
        <v>7303.3143733654952</v>
      </c>
      <c r="H10" s="279">
        <f t="shared" si="1"/>
        <v>13117.259641237719</v>
      </c>
      <c r="I10" s="279">
        <f t="shared" si="1"/>
        <v>23559.508970768085</v>
      </c>
      <c r="J10" s="279">
        <f t="shared" si="1"/>
        <v>42314.513711289808</v>
      </c>
      <c r="K10" s="279">
        <f t="shared" si="1"/>
        <v>75999.804276250114</v>
      </c>
      <c r="L10" s="148"/>
      <c r="M10" s="280">
        <f>EBF!P68</f>
        <v>0.12425447242893894</v>
      </c>
      <c r="N10" s="126"/>
      <c r="O10" s="128"/>
      <c r="P10" s="128"/>
      <c r="Q10" s="128"/>
      <c r="R10" s="128"/>
    </row>
    <row r="11" spans="2:18" ht="13.5" thickBot="1" x14ac:dyDescent="0.25"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50"/>
      <c r="N11" s="126"/>
      <c r="O11" s="128"/>
      <c r="P11" s="128"/>
      <c r="Q11" s="128"/>
      <c r="R11" s="128"/>
    </row>
    <row r="12" spans="2:18" ht="13.5" thickBot="1" x14ac:dyDescent="0.25">
      <c r="B12" s="122" t="s">
        <v>181</v>
      </c>
      <c r="C12" s="122" t="str">
        <f>DemTechs_INDF!P5</f>
        <v>MANHEATOIL</v>
      </c>
      <c r="D12" s="122" t="str">
        <f>E$2</f>
        <v>GWh</v>
      </c>
      <c r="E12" s="124">
        <f>EBF!G62</f>
        <v>2084.0960000000005</v>
      </c>
      <c r="F12" s="124">
        <f>E12*(1+$M$12)^(F6-E6)</f>
        <v>2565.404631982668</v>
      </c>
      <c r="G12" s="124">
        <f t="shared" ref="G12:K12" si="2">F12*(1+$M$12)^(G6-F6)</f>
        <v>3627.0437880490881</v>
      </c>
      <c r="H12" s="124">
        <f t="shared" si="2"/>
        <v>5128.0201479399047</v>
      </c>
      <c r="I12" s="124">
        <f t="shared" si="2"/>
        <v>7250.1442426263065</v>
      </c>
      <c r="J12" s="124">
        <f t="shared" si="2"/>
        <v>10250.465096164708</v>
      </c>
      <c r="K12" s="124">
        <f t="shared" si="2"/>
        <v>14492.406105513488</v>
      </c>
      <c r="M12" s="152">
        <f>EBF!O54</f>
        <v>7.1715186504524242E-2</v>
      </c>
      <c r="O12" s="9" t="s">
        <v>87</v>
      </c>
      <c r="P12" s="9"/>
      <c r="Q12" s="9"/>
      <c r="R12" s="9"/>
    </row>
    <row r="13" spans="2:18" ht="13.5" thickBot="1" x14ac:dyDescent="0.25">
      <c r="B13" s="122" t="s">
        <v>181</v>
      </c>
      <c r="C13" s="122" t="str">
        <f>DemTechs_INDF!P6</f>
        <v>MANELC</v>
      </c>
      <c r="D13" s="122" t="str">
        <f>E$2</f>
        <v>GWh</v>
      </c>
      <c r="E13" s="124">
        <f>EBF!G63</f>
        <v>2861.5609722222221</v>
      </c>
      <c r="F13" s="124">
        <f t="shared" ref="F13:K13" si="3">E13*(1+$M$13)^(F6-E6)</f>
        <v>4972.2999863211944</v>
      </c>
      <c r="G13" s="124">
        <f t="shared" si="3"/>
        <v>12487.663469579884</v>
      </c>
      <c r="H13" s="124">
        <f t="shared" si="3"/>
        <v>31362.093871744641</v>
      </c>
      <c r="I13" s="124">
        <f t="shared" si="3"/>
        <v>78764.208726167155</v>
      </c>
      <c r="J13" s="124">
        <f t="shared" si="3"/>
        <v>197812.06578966585</v>
      </c>
      <c r="K13" s="124">
        <f t="shared" si="3"/>
        <v>496794.34358331078</v>
      </c>
      <c r="M13" s="153">
        <f>EBF!O55</f>
        <v>0.20222228165192857</v>
      </c>
      <c r="O13" s="1" t="s">
        <v>183</v>
      </c>
      <c r="P13" s="1" t="str">
        <f>DemTechs_INDF!P$6</f>
        <v>MANELC</v>
      </c>
      <c r="Q13" s="91" t="s">
        <v>184</v>
      </c>
      <c r="R13" s="129">
        <v>0.75</v>
      </c>
    </row>
    <row r="14" spans="2:18" ht="13.5" thickBot="1" x14ac:dyDescent="0.25">
      <c r="B14" s="141" t="s">
        <v>181</v>
      </c>
      <c r="C14" s="122" t="str">
        <f>DemTechs_INDF!P8</f>
        <v>MANHEATCOAL</v>
      </c>
      <c r="D14" s="122" t="str">
        <f>E$2</f>
        <v>GWh</v>
      </c>
      <c r="E14" s="124">
        <f>EBF!G64</f>
        <v>4221.8336111111112</v>
      </c>
      <c r="F14" s="124">
        <f t="shared" ref="F14:K14" si="4">E14*(1+$M$14)^(F6-E6)</f>
        <v>5055.0933262855706</v>
      </c>
      <c r="G14" s="124">
        <f t="shared" si="4"/>
        <v>6825.104193942886</v>
      </c>
      <c r="H14" s="124">
        <f t="shared" si="4"/>
        <v>9214.8738413905339</v>
      </c>
      <c r="I14" s="124">
        <f t="shared" si="4"/>
        <v>12441.407119923906</v>
      </c>
      <c r="J14" s="124">
        <f t="shared" si="4"/>
        <v>16797.691839081708</v>
      </c>
      <c r="K14" s="124">
        <f t="shared" si="4"/>
        <v>22679.303747635739</v>
      </c>
      <c r="M14" s="153">
        <f>EBF!O56</f>
        <v>6.1881419217466149E-2</v>
      </c>
      <c r="O14" s="1"/>
      <c r="P14" s="1"/>
      <c r="Q14" s="91"/>
      <c r="R14" s="129"/>
    </row>
    <row r="15" spans="2:18" ht="13.5" thickBot="1" x14ac:dyDescent="0.25">
      <c r="B15" s="141"/>
      <c r="C15" s="122"/>
      <c r="D15" s="122"/>
      <c r="E15" s="124"/>
      <c r="F15" s="124"/>
      <c r="G15" s="124"/>
      <c r="H15" s="124"/>
      <c r="I15" s="124"/>
      <c r="J15" s="124"/>
      <c r="K15" s="124"/>
      <c r="M15" s="153"/>
      <c r="O15" s="1"/>
      <c r="P15" s="1"/>
      <c r="Q15" s="91"/>
      <c r="R15" s="129"/>
    </row>
    <row r="16" spans="2:18" ht="13.5" thickBot="1" x14ac:dyDescent="0.25">
      <c r="B16" s="122"/>
      <c r="C16" s="122"/>
      <c r="D16" s="122"/>
      <c r="E16" s="124"/>
      <c r="F16" s="124"/>
      <c r="K16" s="5"/>
      <c r="M16" s="151"/>
      <c r="O16" s="1" t="s">
        <v>183</v>
      </c>
      <c r="P16" s="1" t="str">
        <f>DemTechs_INDF!P$6</f>
        <v>MANELC</v>
      </c>
      <c r="Q16" s="91" t="s">
        <v>185</v>
      </c>
      <c r="R16" s="129">
        <v>0.25</v>
      </c>
    </row>
    <row r="17" spans="2:18" x14ac:dyDescent="0.2">
      <c r="B17" s="122"/>
      <c r="C17" s="122"/>
      <c r="D17" s="141" t="s">
        <v>248</v>
      </c>
      <c r="E17" s="266">
        <f t="shared" ref="E17:K17" si="5">E13/(SUM(E12:E14))</f>
        <v>0.31214223196744728</v>
      </c>
      <c r="F17" s="266">
        <f t="shared" si="5"/>
        <v>0.39485267755428183</v>
      </c>
      <c r="G17" s="266">
        <f t="shared" si="5"/>
        <v>0.5443664389283468</v>
      </c>
      <c r="H17" s="266">
        <f t="shared" si="5"/>
        <v>0.68618536705606159</v>
      </c>
      <c r="I17" s="266">
        <f t="shared" si="5"/>
        <v>0.79999594391626871</v>
      </c>
      <c r="J17" s="266">
        <f t="shared" si="5"/>
        <v>0.87971124191077421</v>
      </c>
      <c r="K17" s="266">
        <f t="shared" si="5"/>
        <v>0.93038563104541538</v>
      </c>
      <c r="M17" s="151"/>
      <c r="N17" s="5"/>
      <c r="O17" s="1" t="s">
        <v>183</v>
      </c>
      <c r="P17" s="1" t="str">
        <f>DemTechs_INDF!P$6</f>
        <v>MANELC</v>
      </c>
      <c r="Q17" s="91" t="s">
        <v>186</v>
      </c>
      <c r="R17" s="129">
        <v>1.0416666666666666E-2</v>
      </c>
    </row>
    <row r="18" spans="2:18" x14ac:dyDescent="0.2">
      <c r="B18" s="1"/>
      <c r="D18" t="s">
        <v>456</v>
      </c>
      <c r="E18" s="266">
        <f t="shared" ref="E18:K18" si="6">E12/(E12+E13+E14)</f>
        <v>0.22733549394519426</v>
      </c>
      <c r="F18" s="266">
        <f t="shared" si="6"/>
        <v>0.20371998687431561</v>
      </c>
      <c r="G18" s="266">
        <f t="shared" si="6"/>
        <v>0.15811131646422313</v>
      </c>
      <c r="H18" s="266">
        <f t="shared" si="6"/>
        <v>0.11219826080092264</v>
      </c>
      <c r="I18" s="266">
        <f t="shared" si="6"/>
        <v>7.3638599063104923E-2</v>
      </c>
      <c r="J18" s="266">
        <f t="shared" si="6"/>
        <v>4.5585942110823403E-2</v>
      </c>
      <c r="K18" s="266">
        <f t="shared" si="6"/>
        <v>2.7141062642923295E-2</v>
      </c>
      <c r="M18" s="151"/>
      <c r="O18" s="1" t="s">
        <v>183</v>
      </c>
      <c r="P18" s="1" t="str">
        <f>DemTechs_INDF!P$6</f>
        <v>MANELC</v>
      </c>
      <c r="Q18" s="130" t="s">
        <v>187</v>
      </c>
      <c r="R18" s="131">
        <v>1.0416666666666666E-2</v>
      </c>
    </row>
    <row r="19" spans="2:18" x14ac:dyDescent="0.2">
      <c r="D19" t="s">
        <v>455</v>
      </c>
      <c r="E19" s="266">
        <f t="shared" ref="E19:K19" si="7">E14/(E12+E13+E14)</f>
        <v>0.46052227408735841</v>
      </c>
      <c r="F19" s="266">
        <f t="shared" si="7"/>
        <v>0.40142733557140259</v>
      </c>
      <c r="G19" s="266">
        <f t="shared" si="7"/>
        <v>0.29752224460742999</v>
      </c>
      <c r="H19" s="266">
        <f t="shared" si="7"/>
        <v>0.20161637214301584</v>
      </c>
      <c r="I19" s="266">
        <f t="shared" si="7"/>
        <v>0.12636545702062627</v>
      </c>
      <c r="J19" s="266">
        <f t="shared" si="7"/>
        <v>7.4702815978402448E-2</v>
      </c>
      <c r="K19" s="266">
        <f t="shared" si="7"/>
        <v>4.2473306311661428E-2</v>
      </c>
      <c r="O19" s="1" t="s">
        <v>183</v>
      </c>
      <c r="P19" s="1" t="str">
        <f>DemTechs_INDF!P$6</f>
        <v>MANELC</v>
      </c>
      <c r="Q19" t="s">
        <v>188</v>
      </c>
      <c r="R19" s="129">
        <v>1.0416666666666666E-2</v>
      </c>
    </row>
    <row r="20" spans="2:18" x14ac:dyDescent="0.2">
      <c r="E20" s="277">
        <f>SUM(E17:E19)</f>
        <v>1</v>
      </c>
      <c r="F20" s="277">
        <f t="shared" ref="F20:K20" si="8">SUM(F17:F19)</f>
        <v>1</v>
      </c>
      <c r="G20" s="277">
        <f t="shared" si="8"/>
        <v>1</v>
      </c>
      <c r="H20" s="277">
        <f t="shared" si="8"/>
        <v>1</v>
      </c>
      <c r="I20" s="277">
        <f t="shared" si="8"/>
        <v>0.99999999999999989</v>
      </c>
      <c r="J20" s="277">
        <f t="shared" si="8"/>
        <v>1</v>
      </c>
      <c r="K20" s="277">
        <f t="shared" si="8"/>
        <v>1</v>
      </c>
      <c r="O20" s="1" t="s">
        <v>183</v>
      </c>
      <c r="P20" s="1" t="str">
        <f>DemTechs_INDF!P$6</f>
        <v>MANELC</v>
      </c>
      <c r="Q20" t="s">
        <v>189</v>
      </c>
      <c r="R20" s="129">
        <v>1.0416666666666666E-2</v>
      </c>
    </row>
    <row r="21" spans="2:18" x14ac:dyDescent="0.2">
      <c r="E21" s="5"/>
      <c r="O21" s="1" t="s">
        <v>183</v>
      </c>
      <c r="P21" s="1" t="str">
        <f>DemTechs_INDF!P$6</f>
        <v>MANELC</v>
      </c>
      <c r="Q21" t="s">
        <v>190</v>
      </c>
      <c r="R21" s="129">
        <v>1.0416666666666666E-2</v>
      </c>
    </row>
    <row r="22" spans="2:18" x14ac:dyDescent="0.2">
      <c r="D22" t="str">
        <f>C9</f>
        <v>MANHEAT</v>
      </c>
      <c r="E22" s="113">
        <f>E9/(E9+E10)</f>
        <v>0.68785776803255272</v>
      </c>
      <c r="F22" s="113">
        <f t="shared" ref="F22:K22" si="9">F9/(F9+F10)</f>
        <v>0.71743425636176072</v>
      </c>
      <c r="G22" s="113">
        <f t="shared" si="9"/>
        <v>0.76275586687735353</v>
      </c>
      <c r="H22" s="113">
        <f t="shared" si="9"/>
        <v>0.80280623244201821</v>
      </c>
      <c r="I22" s="113">
        <f t="shared" si="9"/>
        <v>0.83753558780103154</v>
      </c>
      <c r="J22" s="113">
        <f t="shared" si="9"/>
        <v>0.86716056543676945</v>
      </c>
      <c r="K22" s="113">
        <f t="shared" si="9"/>
        <v>0.89207958120716624</v>
      </c>
      <c r="O22" s="1" t="s">
        <v>183</v>
      </c>
      <c r="P22" s="1" t="str">
        <f>DemTechs_INDF!P$6</f>
        <v>MANELC</v>
      </c>
      <c r="Q22" t="s">
        <v>191</v>
      </c>
      <c r="R22" s="131">
        <v>1.0416666666666666E-2</v>
      </c>
    </row>
    <row r="23" spans="2:18" x14ac:dyDescent="0.2">
      <c r="D23" t="str">
        <f>C10</f>
        <v>MANELC</v>
      </c>
      <c r="E23" s="113">
        <f>E10/(E10+E9)</f>
        <v>0.31214223196744728</v>
      </c>
      <c r="F23" s="113">
        <f t="shared" ref="F23:K23" si="10">F10/(F10+F9)</f>
        <v>0.28256574363823928</v>
      </c>
      <c r="G23" s="113">
        <f t="shared" si="10"/>
        <v>0.2372441331226465</v>
      </c>
      <c r="H23" s="113">
        <f t="shared" si="10"/>
        <v>0.19719376755798168</v>
      </c>
      <c r="I23" s="113">
        <f t="shared" si="10"/>
        <v>0.1624644121989684</v>
      </c>
      <c r="J23" s="113">
        <f t="shared" si="10"/>
        <v>0.13283943456323061</v>
      </c>
      <c r="K23" s="113">
        <f t="shared" si="10"/>
        <v>0.10792041879283377</v>
      </c>
      <c r="O23" s="1" t="s">
        <v>183</v>
      </c>
      <c r="P23" s="1" t="str">
        <f>DemTechs_INDF!P$6</f>
        <v>MANELC</v>
      </c>
      <c r="Q23" t="s">
        <v>192</v>
      </c>
      <c r="R23" s="129">
        <v>1.0416666666666666E-2</v>
      </c>
    </row>
    <row r="24" spans="2:18" x14ac:dyDescent="0.2">
      <c r="O24" s="1"/>
      <c r="P24" s="1"/>
      <c r="R24" s="129"/>
    </row>
    <row r="25" spans="2:18" x14ac:dyDescent="0.2">
      <c r="O25" s="1"/>
      <c r="P25" s="1"/>
      <c r="R25" s="129"/>
    </row>
    <row r="26" spans="2:18" x14ac:dyDescent="0.2">
      <c r="B26" s="1"/>
      <c r="E26" s="5">
        <f>EBF!J19</f>
        <v>150.60848427090019</v>
      </c>
      <c r="O26" s="1" t="s">
        <v>183</v>
      </c>
      <c r="P26" s="1" t="str">
        <f>DemTechs_INDF!P$6</f>
        <v>MANELC</v>
      </c>
      <c r="Q26" t="s">
        <v>193</v>
      </c>
      <c r="R26" s="129">
        <v>1.0416666666666666E-2</v>
      </c>
    </row>
    <row r="27" spans="2:18" x14ac:dyDescent="0.2">
      <c r="B27" s="1"/>
      <c r="E27" s="5">
        <f>EBF!E19</f>
        <v>8781.4640358504003</v>
      </c>
      <c r="O27" s="1" t="s">
        <v>183</v>
      </c>
      <c r="P27" s="1" t="str">
        <f>DemTechs_INDF!P$6</f>
        <v>MANELC</v>
      </c>
      <c r="Q27" t="s">
        <v>194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195</v>
      </c>
      <c r="R28" s="131">
        <v>1.0416666666666666E-2</v>
      </c>
    </row>
    <row r="29" spans="2:18" x14ac:dyDescent="0.2">
      <c r="B29" s="123"/>
      <c r="C29" s="1" t="s">
        <v>98</v>
      </c>
      <c r="O29" s="1" t="s">
        <v>183</v>
      </c>
      <c r="P29" s="1" t="str">
        <f>DemTechs_INDF!P$6</f>
        <v>MANELC</v>
      </c>
      <c r="Q29" t="s">
        <v>196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183</v>
      </c>
      <c r="P30" s="1" t="str">
        <f>DemTechs_INDF!P$6</f>
        <v>MANELC</v>
      </c>
      <c r="Q30" t="s">
        <v>197</v>
      </c>
      <c r="R30" s="129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198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199</v>
      </c>
      <c r="R32" s="131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200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201</v>
      </c>
      <c r="R34" s="129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202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203</v>
      </c>
      <c r="R36" s="131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204</v>
      </c>
      <c r="R37" s="129">
        <v>1.0416666666666666E-2</v>
      </c>
    </row>
    <row r="38" spans="15:18" x14ac:dyDescent="0.2">
      <c r="O38" s="1" t="s">
        <v>183</v>
      </c>
      <c r="P38" s="1" t="str">
        <f>DemTechs_INDF!P$6</f>
        <v>MANELC</v>
      </c>
      <c r="Q38" t="s">
        <v>205</v>
      </c>
      <c r="R38" s="129">
        <v>1.0416666666666666E-2</v>
      </c>
    </row>
    <row r="39" spans="15:18" x14ac:dyDescent="0.2">
      <c r="O39" s="1" t="s">
        <v>183</v>
      </c>
      <c r="P39" s="1" t="str">
        <f>DemTechs_INDF!P$6</f>
        <v>MANELC</v>
      </c>
      <c r="Q39" t="s">
        <v>206</v>
      </c>
      <c r="R39" s="129">
        <v>1.0416666666666666E-2</v>
      </c>
    </row>
    <row r="40" spans="15:18" x14ac:dyDescent="0.2">
      <c r="O40" s="1" t="s">
        <v>183</v>
      </c>
      <c r="P40" s="1" t="str">
        <f>DemTechs_INDF!P$6</f>
        <v>MANELC</v>
      </c>
      <c r="Q40" t="s">
        <v>207</v>
      </c>
      <c r="R40" s="131">
        <v>1.0416666666666666E-2</v>
      </c>
    </row>
    <row r="41" spans="15:18" x14ac:dyDescent="0.2">
      <c r="O41" s="1" t="s">
        <v>183</v>
      </c>
      <c r="P41" s="1" t="str">
        <f>DemTechs_INDF!P$6</f>
        <v>MANELC</v>
      </c>
      <c r="Q41" t="s">
        <v>208</v>
      </c>
      <c r="R41" s="129">
        <v>1.0416666666666666E-2</v>
      </c>
    </row>
    <row r="42" spans="15:18" x14ac:dyDescent="0.2">
      <c r="O42" s="1" t="s">
        <v>183</v>
      </c>
      <c r="P42" s="1" t="str">
        <f>DemTechs_INDF!P$6</f>
        <v>MANELC</v>
      </c>
      <c r="Q42" t="s">
        <v>209</v>
      </c>
      <c r="R42" s="129">
        <v>1.0416666666666666E-2</v>
      </c>
    </row>
    <row r="43" spans="15:18" x14ac:dyDescent="0.2">
      <c r="O43" s="1" t="s">
        <v>183</v>
      </c>
      <c r="P43" s="1" t="str">
        <f>DemTechs_INDF!P$6</f>
        <v>MANELC</v>
      </c>
      <c r="Q43" t="s">
        <v>210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211</v>
      </c>
      <c r="R44" s="131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212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213</v>
      </c>
      <c r="R46" s="129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214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215</v>
      </c>
      <c r="R48" s="131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216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217</v>
      </c>
      <c r="R50" s="129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218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219</v>
      </c>
      <c r="R52" s="131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220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221</v>
      </c>
      <c r="R54" s="129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222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223</v>
      </c>
      <c r="R56" s="131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224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225</v>
      </c>
      <c r="R58" s="129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226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227</v>
      </c>
      <c r="R60" s="131">
        <v>3.125E-2</v>
      </c>
    </row>
    <row r="61" spans="15:18" x14ac:dyDescent="0.2">
      <c r="O61" s="1" t="s">
        <v>183</v>
      </c>
      <c r="P61" s="1" t="str">
        <f>DemTechs_INDF!P$6</f>
        <v>MANELC</v>
      </c>
      <c r="Q61" t="s">
        <v>228</v>
      </c>
      <c r="R61" s="129">
        <v>3.125E-2</v>
      </c>
    </row>
    <row r="62" spans="15:18" x14ac:dyDescent="0.2">
      <c r="O62" s="1" t="s">
        <v>183</v>
      </c>
      <c r="P62" s="1" t="str">
        <f>DemTechs_INDF!P$6</f>
        <v>MANELC</v>
      </c>
      <c r="Q62" t="s">
        <v>229</v>
      </c>
      <c r="R62" s="129">
        <v>3.125E-2</v>
      </c>
    </row>
    <row r="63" spans="15:18" x14ac:dyDescent="0.2">
      <c r="O63" s="1" t="s">
        <v>183</v>
      </c>
      <c r="P63" s="1" t="str">
        <f>DemTechs_INDF!P$6</f>
        <v>MANELC</v>
      </c>
      <c r="Q63" t="s">
        <v>230</v>
      </c>
      <c r="R63" s="129">
        <v>3.125E-2</v>
      </c>
    </row>
    <row r="64" spans="15:18" x14ac:dyDescent="0.2">
      <c r="O64" s="1" t="s">
        <v>183</v>
      </c>
      <c r="P64" s="1" t="str">
        <f>DemTechs_INDF!P$6</f>
        <v>MANELC</v>
      </c>
      <c r="Q64" t="s">
        <v>231</v>
      </c>
      <c r="R64" s="131">
        <v>3.125E-2</v>
      </c>
    </row>
    <row r="65" spans="15:18" x14ac:dyDescent="0.2">
      <c r="O65" s="1" t="s">
        <v>183</v>
      </c>
      <c r="P65" s="1" t="str">
        <f>DemTechs_INDF!P$6</f>
        <v>MANELC</v>
      </c>
      <c r="Q65" t="s">
        <v>232</v>
      </c>
      <c r="R65" s="129">
        <v>3.125E-2</v>
      </c>
    </row>
    <row r="66" spans="15:18" x14ac:dyDescent="0.2">
      <c r="O66" s="1" t="s">
        <v>183</v>
      </c>
      <c r="P66" s="1" t="str">
        <f>DemTechs_INDF!P$6</f>
        <v>MANELC</v>
      </c>
      <c r="Q66" t="s">
        <v>233</v>
      </c>
      <c r="R66" s="129">
        <v>3.125E-2</v>
      </c>
    </row>
    <row r="67" spans="15:18" x14ac:dyDescent="0.2">
      <c r="O67" s="1" t="s">
        <v>183</v>
      </c>
      <c r="P67" s="155" t="s">
        <v>167</v>
      </c>
      <c r="Q67" s="155" t="s">
        <v>446</v>
      </c>
      <c r="R67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2025-11-08T10:46:05Z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