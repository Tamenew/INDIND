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A43B692D-D28D-481B-AC61-EA3313453FF6}" xr6:coauthVersionLast="47" xr6:coauthVersionMax="47" xr10:uidLastSave="{00000000-0000-0000-0000-000000000000}"/>
  <bookViews>
    <workbookView xWindow="-120" yWindow="-120" windowWidth="29040" windowHeight="15720" tabRatio="890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F9" i="145"/>
  <c r="F13" i="145" s="1"/>
  <c r="I9" i="145"/>
  <c r="I13" i="145" s="1"/>
  <c r="C9" i="145"/>
  <c r="J13" i="145" l="1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<sst xmlns="http://schemas.openxmlformats.org/spreadsheetml/2006/main" count="852" uniqueCount="452">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</sst>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1" zoomScale="96" zoomScaleNormal="96" workbookViewId="0">
      <selection activeCell="G30" sqref="G3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5" t="s">
        <v>451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5" t="s">
        <v>451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5" t="s">
        <v>451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451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G1" zoomScale="118" zoomScaleNormal="118" workbookViewId="0">
      <selection activeCell="H19" sqref="H19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450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abSelected="1" topLeftCell="K7" zoomScale="226" zoomScaleNormal="226" workbookViewId="0">
      <selection activeCell="F7" sqref="F1:F1048576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>$E$9*(1+$M$9)^(F6-$E$6)</f>
        <v>20811.797787542779</v>
      </c>
      <c r="G9" s="124">
        <f>$E$9*(1+$M$9)^(G6-$E$6)</f>
        <v>67412.770774944656</v>
      </c>
      <c r="H9" s="124">
        <f>$E$9*(1+$M$9)^(H6-$E$6)</f>
        <v>218360.84080518034</v>
      </c>
      <c r="I9" s="124">
        <f>$E$9*(1+$M$9)^(I6-$E$6)</f>
        <v>707305.9933455087</v>
      </c>
      <c r="J9" s="124">
        <f>$E$9*(1+$M$9)^(J6-$E$6)</f>
        <v>2291078.2280272678</v>
      </c>
      <c r="K9" s="124">
        <f>$E$9*(1+$M$9)^(K6-$E$6)</f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>$E$10*(1+$M$10)^(F6-$E$6)</f>
        <v>3692.8738709213426</v>
      </c>
      <c r="G10" s="124">
        <f>$E$10*(1+$M$10)^(G6-$E$6)</f>
        <v>5648.9387778083592</v>
      </c>
      <c r="H10" s="124">
        <f>$E$10*(1+$M$10)^(H6-$E$6)</f>
        <v>8641.1045789293585</v>
      </c>
      <c r="I10" s="124">
        <f>$E$10*(1+$M$10)^(I6-$E$6)</f>
        <v>13218.179782249905</v>
      </c>
      <c r="J10" s="124">
        <f>$E$10*(1+$M$10)^(J6-$E$6)</f>
        <v>20219.669274912092</v>
      </c>
      <c r="K10" s="124">
        <f>$E$10*(1+$M$10)^(K6-$E$6)</f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0">G10/(G$9+G$10)</f>
        <v>7.7317363806408537E-2</v>
      </c>
      <c r="H12" s="266">
        <f t="shared" si="0"/>
        <v>3.8066213768819274E-2</v>
      </c>
      <c r="I12" s="266">
        <f t="shared" si="0"/>
        <v>1.8345227370888145E-2</v>
      </c>
      <c r="J12" s="266">
        <f t="shared" si="0"/>
        <v>8.7481883224629457E-3</v>
      </c>
      <c r="K12" s="266">
        <f t="shared" si="0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1">G9/(G$9+G$10)</f>
        <v>0.92268263619359148</v>
      </c>
      <c r="H13" s="266">
        <f t="shared" si="1"/>
        <v>0.96193378623118064</v>
      </c>
      <c r="I13" s="266">
        <f t="shared" si="1"/>
        <v>0.98165477262911194</v>
      </c>
      <c r="J13" s="266">
        <f t="shared" si="1"/>
        <v>0.99125181167753695</v>
      </c>
      <c r="K13" s="266">
        <f t="shared" si="1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2025-11-05T16:01:15Z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