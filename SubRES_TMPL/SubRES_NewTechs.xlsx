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412570E9-04F6-4D88-9707-6CEDE3BB51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<sst xmlns="http://schemas.openxmlformats.org/spreadsheetml/2006/main" count="240" uniqueCount="127">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</sst>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zoomScale="96" zoomScaleNormal="96" workbookViewId="0">
      <selection activeCell="H37" sqref="H3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71</v>
      </c>
      <c r="D1" s="7" t="s">
        <v>39</v>
      </c>
      <c r="E1" s="7" t="s">
        <v>72</v>
      </c>
      <c r="F1" s="6"/>
      <c r="G1" s="7" t="s">
        <v>41</v>
      </c>
    </row>
    <row r="2" spans="2:21" ht="15.75" x14ac:dyDescent="0.25">
      <c r="C2" s="21" t="s">
        <v>73</v>
      </c>
      <c r="D2" s="21" t="s">
        <v>74</v>
      </c>
      <c r="E2" s="18" t="s">
        <v>58</v>
      </c>
      <c r="F2" s="21"/>
      <c r="G2" s="4" t="s">
        <v>85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75</v>
      </c>
      <c r="E3" s="18" t="s">
        <v>58</v>
      </c>
      <c r="F3" s="21"/>
      <c r="G3" s="4" t="s">
        <v>85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85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76</v>
      </c>
      <c r="E5" s="18" t="s">
        <v>58</v>
      </c>
      <c r="F5" s="21"/>
      <c r="G5" s="4" t="s">
        <v>85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100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73</v>
      </c>
      <c r="P7" s="72" t="s">
        <v>110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116</v>
      </c>
      <c r="P8" s="72" t="s">
        <v>111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78</v>
      </c>
      <c r="H23" s="24" t="s">
        <v>79</v>
      </c>
      <c r="I23" s="24" t="s">
        <v>80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81</v>
      </c>
      <c r="H24" s="25" t="s">
        <v>82</v>
      </c>
      <c r="I24" s="25" t="s">
        <v>83</v>
      </c>
      <c r="J24" s="26" t="s">
        <v>84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85</v>
      </c>
      <c r="I25" s="27" t="s">
        <v>58</v>
      </c>
      <c r="J25" s="28"/>
      <c r="K25" s="28"/>
      <c r="M25" s="20" t="s">
        <v>86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101</v>
      </c>
      <c r="P28" s="34" t="s">
        <v>104</v>
      </c>
      <c r="Q28" t="s">
        <v>58</v>
      </c>
      <c r="S28" t="s">
        <v>96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102</v>
      </c>
      <c r="P29" s="34" t="s">
        <v>103</v>
      </c>
      <c r="Q29" t="s">
        <v>58</v>
      </c>
      <c r="S29" t="s">
        <v>96</v>
      </c>
    </row>
    <row r="30" spans="2:21" x14ac:dyDescent="0.2">
      <c r="B30" s="19" t="s">
        <v>66</v>
      </c>
      <c r="C30" s="19" t="str">
        <f>O8</f>
        <v>SOLAR</v>
      </c>
      <c r="D30" s="19" t="s">
        <v>126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112</v>
      </c>
      <c r="P30" s="73" t="s">
        <v>115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113</v>
      </c>
      <c r="P31" s="73" t="s">
        <v>114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87</v>
      </c>
      <c r="H41" s="68"/>
      <c r="I41" s="69"/>
      <c r="J41" s="68"/>
      <c r="K41" s="68"/>
    </row>
    <row r="42" spans="2:16" x14ac:dyDescent="0.2">
      <c r="B42" s="38"/>
      <c r="C42" s="1" t="s">
        <v>88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opLeftCell="A2" zoomScale="118" zoomScaleNormal="118" workbookViewId="0">
      <selection activeCell="F27" sqref="F27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72</v>
      </c>
      <c r="F1" s="3" t="s">
        <v>41</v>
      </c>
      <c r="G1" s="3"/>
      <c r="H1" s="3" t="s">
        <v>89</v>
      </c>
    </row>
    <row r="2" spans="2:22" ht="31.5" x14ac:dyDescent="0.25">
      <c r="B2" s="4" t="s">
        <v>106</v>
      </c>
      <c r="C2" s="4" t="s">
        <v>107</v>
      </c>
      <c r="D2" s="39" t="str">
        <f>"Demand Technologies"</f>
        <v>Demand Technologies</v>
      </c>
      <c r="E2" s="4" t="s">
        <v>58</v>
      </c>
      <c r="F2" s="4" t="s">
        <v>108</v>
      </c>
      <c r="G2" s="4"/>
      <c r="H2" s="4" t="s">
        <v>105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90</v>
      </c>
      <c r="F15" s="46" t="s">
        <v>117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91</v>
      </c>
      <c r="F16" s="48" t="s">
        <v>92</v>
      </c>
      <c r="G16" s="48" t="s">
        <v>35</v>
      </c>
      <c r="H16" s="49" t="s">
        <v>49</v>
      </c>
      <c r="I16" s="48" t="s">
        <v>57</v>
      </c>
      <c r="J16" s="48" t="s">
        <v>93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94</v>
      </c>
      <c r="F17" s="52"/>
      <c r="G17" s="52"/>
      <c r="H17" s="53"/>
      <c r="I17" s="52" t="s">
        <v>54</v>
      </c>
      <c r="J17" s="52" t="s">
        <v>85</v>
      </c>
      <c r="K17" s="53"/>
      <c r="L17" s="54"/>
      <c r="M17" s="54"/>
      <c r="N17" s="44" t="s">
        <v>86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126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125</v>
      </c>
      <c r="R18" s="9" t="s">
        <v>58</v>
      </c>
      <c r="S18" s="9" t="s">
        <v>95</v>
      </c>
      <c r="T18" s="59" t="s">
        <v>96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126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118</v>
      </c>
      <c r="Q19" s="58" t="s">
        <v>109</v>
      </c>
      <c r="R19" s="9" t="s">
        <v>58</v>
      </c>
      <c r="S19" s="9" t="s">
        <v>95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126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119</v>
      </c>
      <c r="Q20" s="58" t="s">
        <v>124</v>
      </c>
      <c r="R20" s="9" t="s">
        <v>58</v>
      </c>
      <c r="S20" s="9" t="s">
        <v>95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126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77</v>
      </c>
      <c r="R21" s="9" t="s">
        <v>58</v>
      </c>
      <c r="S21" s="9" t="s">
        <v>95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126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120</v>
      </c>
      <c r="Q22" s="58" t="s">
        <v>121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126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122</v>
      </c>
      <c r="Q23" s="58" t="s">
        <v>123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87</v>
      </c>
      <c r="H29" s="63"/>
    </row>
    <row r="30" spans="2:22" x14ac:dyDescent="0.2">
      <c r="B30" s="64"/>
      <c r="C30" s="8" t="s">
        <v>88</v>
      </c>
      <c r="H30" s="63"/>
    </row>
    <row r="31" spans="2:22" x14ac:dyDescent="0.2">
      <c r="E31" s="8" t="s">
        <v>97</v>
      </c>
      <c r="F31" s="8" t="s">
        <v>98</v>
      </c>
      <c r="H31" s="63"/>
    </row>
    <row r="33" spans="5:6" x14ac:dyDescent="0.2">
      <c r="E33" s="8" t="s">
        <v>99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2025-11-08T16:33:26Z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