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93451F0F-CFA1-48E1-9BA6-C11E021D521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3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<sst xmlns="http://schemas.openxmlformats.org/spreadsheetml/2006/main" count="304" uniqueCount="142">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</sst>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9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0" borderId="0" xfId="0" applyNumberFormat="1" applyFont="1" applyFill="1"/>
    <xf numFmtId="2" fontId="4" fillId="10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0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0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0" borderId="0" xfId="0" applyNumberFormat="1" applyFont="1" applyFill="1"/>
    <xf numFmtId="165" fontId="4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4" fillId="11" borderId="0" xfId="0" applyFont="1" applyFill="1"/>
    <xf numFmtId="165" fontId="0" fillId="11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0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2" borderId="0" xfId="20" applyNumberFormat="1" applyFont="1" applyFill="1" applyBorder="1" applyAlignment="1">
      <alignment horizontal="left" wrapText="1"/>
    </xf>
    <xf numFmtId="0" fontId="19" fillId="8" borderId="0" xfId="0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C11" zoomScale="118" zoomScaleNormal="118" workbookViewId="0">
      <selection activeCell="N17" sqref="N17:N19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25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</row>
    <row r="18" spans="2:25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</row>
    <row r="19" spans="2:25" ht="23.2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</row>
    <row r="20" spans="2:25" x14ac:dyDescent="0.2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/>
      <c r="X20" s="56"/>
      <c r="Y20" s="56"/>
    </row>
    <row r="21" spans="2:25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56"/>
      <c r="X21" s="56"/>
      <c r="Y21" s="56"/>
    </row>
    <row r="22" spans="2:25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56"/>
      <c r="X22" s="56"/>
      <c r="Y22" s="56"/>
    </row>
    <row r="23" spans="2:25" s="56" customFormat="1" x14ac:dyDescent="0.2">
      <c r="B23" s="9" t="str">
        <f>S22</f>
        <v>BIOKiln</v>
      </c>
      <c r="C23" s="9" t="str">
        <f>PRI_Sector_Fuels!P5</f>
        <v>MANBIOMIN</v>
      </c>
      <c r="D23" s="54" t="str">
        <f>S6</f>
        <v>BIOHEAT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</row>
    <row r="24" spans="2:25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</row>
    <row r="25" spans="2:25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</row>
    <row r="26" spans="2:25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</row>
    <row r="27" spans="2:25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</row>
    <row r="28" spans="2:25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17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8"/>
      <c r="X28" s="8"/>
      <c r="Y28" s="8"/>
    </row>
    <row r="29" spans="2:25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17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</row>
    <row r="30" spans="2:25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17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6" customFormat="1" x14ac:dyDescent="0.2">
      <c r="B31" s="16" t="str">
        <f>S23</f>
        <v>GASBoiler</v>
      </c>
      <c r="C31" s="16" t="s">
        <v>67</v>
      </c>
      <c r="D31" s="54" t="s">
        <v>136</v>
      </c>
      <c r="E31" s="17">
        <v>2030</v>
      </c>
      <c r="F31" s="55"/>
      <c r="G31" s="56">
        <v>1</v>
      </c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</row>
    <row r="33" spans="2:25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</row>
    <row r="34" spans="2:25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</row>
    <row r="36" spans="2:25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</row>
    <row r="37" spans="2:25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</row>
    <row r="38" spans="2:25" x14ac:dyDescent="0.2">
      <c r="F38" s="58"/>
      <c r="G38" s="10"/>
      <c r="H38" s="60"/>
      <c r="R38" s="57"/>
      <c r="T38" s="57"/>
      <c r="U38" s="59"/>
      <c r="V38" s="59"/>
    </row>
    <row r="39" spans="2:25" x14ac:dyDescent="0.2">
      <c r="H39" s="60"/>
    </row>
    <row r="40" spans="2:25" x14ac:dyDescent="0.2">
      <c r="B40" s="53"/>
      <c r="C40" s="8" t="s">
        <v>83</v>
      </c>
      <c r="H40" s="60"/>
    </row>
    <row r="41" spans="2:25" x14ac:dyDescent="0.2">
      <c r="B41" s="61"/>
      <c r="C41" s="8" t="s">
        <v>84</v>
      </c>
      <c r="H41" s="60"/>
    </row>
    <row r="42" spans="2:25" x14ac:dyDescent="0.2">
      <c r="E42" s="8" t="s">
        <v>90</v>
      </c>
      <c r="F42" s="8" t="s">
        <v>91</v>
      </c>
      <c r="H42" s="60"/>
    </row>
    <row r="44" spans="2:25" x14ac:dyDescent="0.2">
      <c r="E44" s="8" t="s">
        <v>92</v>
      </c>
      <c r="F44" s="8">
        <f>24*365</f>
        <v>8760</v>
      </c>
    </row>
    <row r="45" spans="2:25" x14ac:dyDescent="0.2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2025-11-13T15:47:57Z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