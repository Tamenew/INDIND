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9E2C23FE-5DD5-40DF-AD1A-139FAE780E13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43" l="1"/>
  <c r="F24" i="143"/>
  <c r="I33" i="143"/>
  <c r="F2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H32" i="143"/>
  <c r="J18" i="133"/>
  <c r="H33" i="143"/>
  <c r="D22" i="143"/>
  <c r="C25" i="143"/>
  <c r="B25" i="143"/>
  <c r="C24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1" i="143"/>
  <c r="C2" i="143"/>
  <c r="T7" i="143"/>
  <c r="B2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S7" i="143"/>
  <c r="B9" i="146"/>
  <c r="D40" i="133"/>
  <c r="E47" i="133"/>
  <c r="K47" i="133"/>
  <c r="D25" i="144"/>
  <c r="K17" i="144"/>
  <c r="K25" i="144"/>
  <c r="K5" i="144"/>
  <c r="K8" i="144"/>
  <c r="U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<sst xmlns="http://schemas.openxmlformats.org/spreadsheetml/2006/main" count="899" uniqueCount="474">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</sst>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5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3" t="s">
        <v>141</v>
      </c>
      <c r="B2" s="314"/>
      <c r="C2" s="314"/>
      <c r="D2" s="314"/>
      <c r="E2" s="315"/>
      <c r="F2" s="313" t="s">
        <v>233</v>
      </c>
      <c r="G2" s="314"/>
      <c r="H2" s="314"/>
      <c r="I2" s="315"/>
      <c r="J2" s="319" t="s">
        <v>234</v>
      </c>
      <c r="K2" s="320"/>
      <c r="L2" s="320"/>
      <c r="M2" s="321"/>
      <c r="N2" s="313" t="s">
        <v>235</v>
      </c>
      <c r="O2" s="314"/>
      <c r="P2" s="314"/>
      <c r="Q2" s="314"/>
      <c r="R2" s="315"/>
      <c r="V2" s="174" t="s">
        <v>141</v>
      </c>
      <c r="W2" s="310" t="s">
        <v>236</v>
      </c>
      <c r="X2" s="311"/>
      <c r="Y2" s="311"/>
      <c r="Z2" s="311"/>
      <c r="AA2" s="312"/>
      <c r="AB2" s="310" t="s">
        <v>237</v>
      </c>
      <c r="AC2" s="311"/>
      <c r="AD2" s="311"/>
      <c r="AE2" s="311"/>
      <c r="AF2" s="312"/>
    </row>
    <row r="3" spans="1:32" ht="24.6" customHeight="1" thickBot="1" x14ac:dyDescent="0.3">
      <c r="A3" s="313" t="s">
        <v>238</v>
      </c>
      <c r="B3" s="314"/>
      <c r="C3" s="314"/>
      <c r="D3" s="314"/>
      <c r="E3" s="315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6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7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7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7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7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7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7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18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6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7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7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7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7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7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7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18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4" t="s">
        <v>327</v>
      </c>
      <c r="D1" s="324"/>
      <c r="E1" s="324"/>
      <c r="F1" s="324"/>
      <c r="G1" s="324" t="s">
        <v>328</v>
      </c>
      <c r="H1" s="324"/>
      <c r="I1" s="324"/>
      <c r="J1" s="324"/>
      <c r="K1" s="324" t="s">
        <v>329</v>
      </c>
      <c r="L1" s="324"/>
      <c r="M1" s="324" t="s">
        <v>330</v>
      </c>
      <c r="N1" s="324"/>
      <c r="O1" s="324" t="s">
        <v>331</v>
      </c>
      <c r="P1" s="324"/>
      <c r="Q1" s="324"/>
      <c r="R1" s="324" t="s">
        <v>331</v>
      </c>
      <c r="S1" s="324"/>
      <c r="T1" s="324"/>
      <c r="U1" s="324" t="s">
        <v>331</v>
      </c>
      <c r="V1" s="324"/>
      <c r="W1" s="324"/>
      <c r="X1" s="20" t="s">
        <v>332</v>
      </c>
      <c r="Y1" s="324" t="s">
        <v>333</v>
      </c>
      <c r="Z1" s="324"/>
      <c r="AA1" s="324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4" t="s">
        <v>335</v>
      </c>
      <c r="P2" s="324"/>
      <c r="Q2" s="324"/>
      <c r="R2" s="324" t="s">
        <v>338</v>
      </c>
      <c r="S2" s="324"/>
      <c r="T2" s="324"/>
      <c r="U2" s="324" t="s">
        <v>337</v>
      </c>
      <c r="V2" s="324"/>
      <c r="W2" s="324"/>
      <c r="X2" s="20" t="s">
        <v>111</v>
      </c>
      <c r="Y2" s="324" t="s">
        <v>339</v>
      </c>
      <c r="Z2" s="324"/>
      <c r="AA2" s="324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2" t="str">
        <f t="shared" si="1"/>
        <v>Installation Cost per kW</v>
      </c>
      <c r="D17" s="322"/>
      <c r="E17" s="322"/>
      <c r="F17" s="322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3" t="s">
        <v>389</v>
      </c>
      <c r="D42" s="323"/>
      <c r="E42" s="323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O48" sqref="O48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0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0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1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2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2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2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3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1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4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5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4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6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1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4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4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4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4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4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4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4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4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4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4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7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4"/>
      <c r="H26" s="5"/>
      <c r="I26" s="5"/>
      <c r="J26" s="5"/>
      <c r="K26" s="5"/>
    </row>
    <row r="27" spans="2:13" x14ac:dyDescent="0.25">
      <c r="D27" s="5"/>
      <c r="E27" s="5"/>
      <c r="F27" s="5"/>
      <c r="G27" s="274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4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4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4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4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4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4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4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4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4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4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4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4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4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0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0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431</v>
      </c>
      <c r="N51" t="s">
        <v>432</v>
      </c>
      <c r="O51" t="s">
        <v>433</v>
      </c>
      <c r="P51" t="s">
        <v>444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8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8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0" customFormat="1" x14ac:dyDescent="0.25">
      <c r="C54" s="300" t="s">
        <v>411</v>
      </c>
      <c r="D54" s="301">
        <f>'Energybalance history'!B69</f>
        <v>2533.3338888888889</v>
      </c>
      <c r="E54" s="301">
        <f>'Energybalance history'!C69</f>
        <v>2518.2216666666668</v>
      </c>
      <c r="F54" s="301">
        <f>'Energybalance history'!D69</f>
        <v>2531.5555555555557</v>
      </c>
      <c r="G54" s="302">
        <f>'Energybalance history'!E69</f>
        <v>2605.1200000000003</v>
      </c>
      <c r="H54" s="301">
        <f>'Energybalance history'!F69</f>
        <v>2791.9466666666667</v>
      </c>
      <c r="I54" s="303">
        <f t="shared" si="4"/>
        <v>1.0345078173552369</v>
      </c>
      <c r="J54" s="303">
        <f t="shared" si="5"/>
        <v>0.5</v>
      </c>
      <c r="K54" s="304">
        <f t="shared" si="6"/>
        <v>1.7107574131289605E-2</v>
      </c>
      <c r="L54" s="305">
        <f t="shared" si="7"/>
        <v>1.7253908677618446E-2</v>
      </c>
      <c r="M54" s="306">
        <f t="shared" si="8"/>
        <v>5.2949623400464496E-3</v>
      </c>
      <c r="N54" s="306">
        <f t="shared" si="3"/>
        <v>2.9058988764045113E-2</v>
      </c>
      <c r="O54" s="306">
        <f t="shared" si="3"/>
        <v>7.1715186504524242E-2</v>
      </c>
      <c r="P54" s="307">
        <f t="shared" si="9"/>
        <v>3.5356379202871935E-2</v>
      </c>
    </row>
    <row r="55" spans="2:16" s="292" customFormat="1" x14ac:dyDescent="0.25">
      <c r="C55" s="292" t="s">
        <v>414</v>
      </c>
      <c r="D55" s="293">
        <f>'Energybalance history'!B68</f>
        <v>2791.0050000000001</v>
      </c>
      <c r="E55" s="293">
        <f>'Energybalance history'!C68</f>
        <v>2430.2799722222217</v>
      </c>
      <c r="F55" s="293">
        <f>'Energybalance history'!D68</f>
        <v>2683.0269444444443</v>
      </c>
      <c r="G55" s="294">
        <f>'Energybalance history'!E68</f>
        <v>2861.5609722222221</v>
      </c>
      <c r="H55" s="293">
        <f>'Energybalance history'!F68</f>
        <v>3440.232361111111</v>
      </c>
      <c r="I55" s="295">
        <f t="shared" si="4"/>
        <v>1.1774614468001567</v>
      </c>
      <c r="J55" s="295">
        <f t="shared" si="5"/>
        <v>0.5</v>
      </c>
      <c r="K55" s="296">
        <f t="shared" si="6"/>
        <v>8.5108956188343576E-2</v>
      </c>
      <c r="L55" s="297">
        <f t="shared" si="7"/>
        <v>8.8730723400078371E-2</v>
      </c>
      <c r="M55" s="298">
        <f t="shared" si="8"/>
        <v>0.10399911743136059</v>
      </c>
      <c r="N55" s="298">
        <f t="shared" si="3"/>
        <v>6.6542018203527675E-2</v>
      </c>
      <c r="O55" s="298">
        <f t="shared" si="3"/>
        <v>0.20222228165192857</v>
      </c>
      <c r="P55" s="299">
        <f t="shared" si="9"/>
        <v>0.12425447242893894</v>
      </c>
    </row>
    <row r="56" spans="2:16" s="285" customFormat="1" x14ac:dyDescent="0.25">
      <c r="C56" s="285" t="s">
        <v>269</v>
      </c>
      <c r="D56" s="286">
        <f>D52+D53</f>
        <v>4447.650555555555</v>
      </c>
      <c r="E56" s="286">
        <f t="shared" ref="E56:H56" si="10">E52+E53</f>
        <v>3906.7316666666666</v>
      </c>
      <c r="F56" s="286">
        <f t="shared" si="10"/>
        <v>4859.4383333333335</v>
      </c>
      <c r="G56" s="287">
        <f t="shared" si="10"/>
        <v>7676.0611111111102</v>
      </c>
      <c r="H56" s="286">
        <f t="shared" si="10"/>
        <v>8151.0666666666657</v>
      </c>
      <c r="I56" s="288">
        <f t="shared" si="4"/>
        <v>1.9648293678845217</v>
      </c>
      <c r="J56" s="288">
        <f t="shared" si="5"/>
        <v>0.5</v>
      </c>
      <c r="K56" s="289">
        <f t="shared" si="6"/>
        <v>0.40172371310630317</v>
      </c>
      <c r="L56" s="290">
        <f t="shared" si="7"/>
        <v>0.48241468394226084</v>
      </c>
      <c r="M56" s="290">
        <f t="shared" si="8"/>
        <v>0.2438628367531428</v>
      </c>
      <c r="N56" s="290">
        <f t="shared" si="3"/>
        <v>0.57961899803463779</v>
      </c>
      <c r="O56" s="290">
        <f t="shared" si="3"/>
        <v>6.1881419217466149E-2</v>
      </c>
      <c r="P56" s="291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8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434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425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426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8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435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8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8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2"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>
        <f>EBF!G52</f>
        <v>4518.3999999999996</v>
      </c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>
        <f>EBF!G54</f>
        <v>2605.1200000000003</v>
      </c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>
        <f>EBF!G55</f>
        <v>2861.5609722222221</v>
      </c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6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6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6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6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6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6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6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6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6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6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6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tabSelected="1" topLeftCell="A13" zoomScale="118" zoomScaleNormal="118" workbookViewId="0">
      <selection activeCell="L29" sqref="L29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7" t="s">
        <v>74</v>
      </c>
      <c r="R5" s="157"/>
      <c r="S5" s="157" t="s">
        <v>425</v>
      </c>
      <c r="T5" s="157" t="s">
        <v>427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222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7" t="s">
        <v>74</v>
      </c>
      <c r="R8" s="157"/>
      <c r="S8" s="157" t="s">
        <v>426</v>
      </c>
      <c r="T8" s="157" t="s">
        <v>428</v>
      </c>
      <c r="U8" s="252" t="s">
        <v>161</v>
      </c>
      <c r="V8" s="92"/>
      <c r="W8" s="92"/>
      <c r="X8" s="92"/>
      <c r="Y8" s="92"/>
    </row>
    <row r="9" spans="2:25" x14ac:dyDescent="0.2">
      <c r="Q9" s="264" t="s">
        <v>82</v>
      </c>
      <c r="R9" s="264"/>
      <c r="S9" s="264" t="s">
        <v>435</v>
      </c>
      <c r="T9" s="264" t="s">
        <v>436</v>
      </c>
      <c r="U9" s="252" t="s">
        <v>161</v>
      </c>
      <c r="V9" s="92"/>
      <c r="W9" s="92"/>
      <c r="X9" s="92"/>
      <c r="Y9" s="92"/>
    </row>
    <row r="10" spans="2:25" x14ac:dyDescent="0.2">
      <c r="Q10" s="264"/>
      <c r="R10" s="264"/>
      <c r="S10" s="264"/>
      <c r="T10" s="264"/>
      <c r="U10" s="252"/>
      <c r="V10" s="92"/>
      <c r="W10" s="92"/>
      <c r="X10" s="92"/>
      <c r="Y10" s="92"/>
    </row>
    <row r="11" spans="2:25" x14ac:dyDescent="0.2">
      <c r="Q11" s="252" t="s">
        <v>74</v>
      </c>
      <c r="R11" s="92"/>
      <c r="S11" s="252" t="s">
        <v>438</v>
      </c>
      <c r="T11" s="252" t="s">
        <v>440</v>
      </c>
      <c r="U11" s="252" t="s">
        <v>161</v>
      </c>
      <c r="V11" s="92"/>
      <c r="W11" s="92"/>
      <c r="X11" s="92"/>
      <c r="Y11" s="92"/>
    </row>
    <row r="12" spans="2:25" x14ac:dyDescent="0.2">
      <c r="Q12" s="252"/>
      <c r="R12" s="92"/>
      <c r="S12" s="252"/>
      <c r="T12" s="252"/>
      <c r="U12" s="252"/>
      <c r="V12" s="92"/>
      <c r="W12" s="92"/>
      <c r="X12" s="92"/>
      <c r="Y12" s="92"/>
    </row>
    <row r="13" spans="2:25" x14ac:dyDescent="0.2">
      <c r="Q13" s="252"/>
      <c r="R13" s="92"/>
      <c r="S13" s="252"/>
      <c r="T13" s="252"/>
      <c r="U13" s="252"/>
      <c r="V13" s="92"/>
      <c r="W13" s="92"/>
      <c r="X13" s="92"/>
      <c r="Y13" s="92"/>
    </row>
    <row r="14" spans="2:25" x14ac:dyDescent="0.2">
      <c r="Q14" s="252"/>
      <c r="R14" s="92"/>
      <c r="S14" s="252"/>
      <c r="T14" s="252"/>
      <c r="U14" s="252"/>
      <c r="V14" s="92"/>
      <c r="W14" s="92"/>
      <c r="X14" s="92"/>
      <c r="Y14" s="92"/>
    </row>
    <row r="16" spans="2:25" x14ac:dyDescent="0.2">
      <c r="D16" s="3" t="s">
        <v>13</v>
      </c>
      <c r="E16" s="3"/>
      <c r="F16" s="3"/>
      <c r="H16" s="3"/>
      <c r="I16" s="96"/>
      <c r="J16" s="96"/>
      <c r="K16" s="96"/>
      <c r="L16" s="96"/>
      <c r="M16" s="96"/>
      <c r="N16" s="96"/>
      <c r="O16" s="96"/>
      <c r="P16" s="96"/>
      <c r="Q16" s="91" t="s">
        <v>15</v>
      </c>
      <c r="R16" s="91"/>
      <c r="S16" s="92"/>
      <c r="T16" s="92"/>
      <c r="U16" s="92"/>
      <c r="V16" s="92"/>
      <c r="W16" s="92"/>
      <c r="X16" s="92"/>
      <c r="Y16" s="92"/>
    </row>
    <row r="17" spans="2:25" ht="24" customHeight="1" x14ac:dyDescent="0.2">
      <c r="B17" s="54" t="s">
        <v>1</v>
      </c>
      <c r="C17" s="54" t="s">
        <v>5</v>
      </c>
      <c r="D17" s="54" t="s">
        <v>6</v>
      </c>
      <c r="E17" s="97" t="s">
        <v>441</v>
      </c>
      <c r="F17" s="98" t="s">
        <v>422</v>
      </c>
      <c r="G17" s="97" t="s">
        <v>105</v>
      </c>
      <c r="H17" s="97" t="s">
        <v>106</v>
      </c>
      <c r="I17" s="97" t="s">
        <v>107</v>
      </c>
      <c r="J17" s="97" t="s">
        <v>423</v>
      </c>
      <c r="K17" s="97" t="s">
        <v>171</v>
      </c>
      <c r="L17" s="97" t="s">
        <v>172</v>
      </c>
      <c r="M17" s="97" t="s">
        <v>162</v>
      </c>
      <c r="N17" s="97" t="s">
        <v>471</v>
      </c>
      <c r="O17" s="253"/>
      <c r="P17" s="253"/>
      <c r="Q17" s="93" t="s">
        <v>11</v>
      </c>
      <c r="R17" s="94" t="s">
        <v>30</v>
      </c>
      <c r="S17" s="93" t="s">
        <v>1</v>
      </c>
      <c r="T17" s="93" t="s">
        <v>2</v>
      </c>
      <c r="U17" s="93" t="s">
        <v>16</v>
      </c>
      <c r="V17" s="93" t="s">
        <v>17</v>
      </c>
      <c r="W17" s="93" t="s">
        <v>18</v>
      </c>
      <c r="X17" s="93" t="s">
        <v>19</v>
      </c>
      <c r="Y17" s="93" t="s">
        <v>20</v>
      </c>
    </row>
    <row r="18" spans="2:25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109</v>
      </c>
      <c r="H18" s="100" t="s">
        <v>110</v>
      </c>
      <c r="I18" s="99" t="s">
        <v>118</v>
      </c>
      <c r="J18" s="99" t="s">
        <v>424</v>
      </c>
      <c r="K18" s="99" t="s">
        <v>173</v>
      </c>
      <c r="L18" s="100" t="s">
        <v>174</v>
      </c>
      <c r="M18" s="99" t="s">
        <v>163</v>
      </c>
      <c r="N18" s="99" t="s">
        <v>472</v>
      </c>
      <c r="O18" s="254"/>
      <c r="P18" s="254"/>
      <c r="Q18" s="95" t="s">
        <v>38</v>
      </c>
      <c r="R18" s="95" t="s">
        <v>31</v>
      </c>
      <c r="S18" s="95" t="s">
        <v>21</v>
      </c>
      <c r="T18" s="95" t="s">
        <v>22</v>
      </c>
      <c r="U18" s="95" t="s">
        <v>23</v>
      </c>
      <c r="V18" s="95" t="s">
        <v>24</v>
      </c>
      <c r="W18" s="95" t="s">
        <v>43</v>
      </c>
      <c r="X18" s="95" t="s">
        <v>42</v>
      </c>
      <c r="Y18" s="95" t="s">
        <v>25</v>
      </c>
    </row>
    <row r="19" spans="2:25" ht="23.25" thickBot="1" x14ac:dyDescent="0.25">
      <c r="B19" s="101" t="s">
        <v>87</v>
      </c>
      <c r="C19" s="101"/>
      <c r="D19" s="101"/>
      <c r="E19" s="102" t="s">
        <v>213</v>
      </c>
      <c r="F19" s="102"/>
      <c r="G19" s="102" t="s">
        <v>363</v>
      </c>
      <c r="H19" s="103" t="s">
        <v>363</v>
      </c>
      <c r="I19" s="102" t="s">
        <v>111</v>
      </c>
      <c r="J19" s="102"/>
      <c r="K19" s="102"/>
      <c r="L19" s="102"/>
      <c r="M19" s="102"/>
      <c r="N19" s="102" t="s">
        <v>473</v>
      </c>
      <c r="O19" s="255"/>
      <c r="P19" s="255"/>
      <c r="Q19" s="95" t="s">
        <v>81</v>
      </c>
      <c r="R19" s="95"/>
      <c r="S19" s="95"/>
      <c r="T19" s="95"/>
      <c r="U19" s="95"/>
      <c r="V19" s="95"/>
      <c r="W19" s="95"/>
      <c r="X19" s="95"/>
      <c r="Y19" s="95"/>
    </row>
    <row r="20" spans="2:25" x14ac:dyDescent="0.2">
      <c r="B20" s="90" t="str">
        <f>S$20</f>
        <v>Kiln</v>
      </c>
      <c r="C20" s="90" t="str">
        <f>PRI_Sector_Fuels!O5</f>
        <v>MANCOALMIN</v>
      </c>
      <c r="D20" s="92" t="str">
        <f>S8</f>
        <v>MANHEATCOAL</v>
      </c>
      <c r="E20" s="107"/>
      <c r="F20" s="104">
        <v>0.59</v>
      </c>
      <c r="G20" s="105">
        <v>0.55000000000000004</v>
      </c>
      <c r="H20" s="105">
        <v>1</v>
      </c>
      <c r="I20" s="129">
        <v>30</v>
      </c>
      <c r="J20" s="129"/>
      <c r="K20" s="106">
        <v>1515</v>
      </c>
      <c r="L20" s="106"/>
      <c r="M20" s="106">
        <v>8.76</v>
      </c>
      <c r="N20" s="112"/>
      <c r="O20" s="112"/>
      <c r="P20" s="112"/>
      <c r="Q20" s="160" t="s">
        <v>439</v>
      </c>
      <c r="S20" s="90" t="s">
        <v>152</v>
      </c>
      <c r="T20" s="90" t="s">
        <v>214</v>
      </c>
      <c r="U20" s="92" t="str">
        <f>$E$2</f>
        <v>GWh</v>
      </c>
      <c r="V20" s="92" t="s">
        <v>153</v>
      </c>
      <c r="W20" s="92"/>
      <c r="X20" s="252"/>
      <c r="Y20" s="92"/>
    </row>
    <row r="21" spans="2:25" x14ac:dyDescent="0.2">
      <c r="B21" s="90" t="str">
        <f>S$20</f>
        <v>Kiln</v>
      </c>
      <c r="C21" s="90" t="str">
        <f>PRI_Sector_Fuels!O6</f>
        <v>MANCOALIMP</v>
      </c>
      <c r="D21" s="92" t="str">
        <f>S$8</f>
        <v>MANHEATCOAL</v>
      </c>
      <c r="E21" s="107"/>
      <c r="F21" s="104">
        <v>0.41</v>
      </c>
      <c r="G21" s="105">
        <v>0.55000000000000004</v>
      </c>
      <c r="H21" s="105">
        <v>1</v>
      </c>
      <c r="I21" s="129">
        <v>30</v>
      </c>
      <c r="J21" s="129"/>
      <c r="K21" s="106">
        <v>1515</v>
      </c>
      <c r="L21" s="106"/>
      <c r="M21" s="106">
        <v>8.76</v>
      </c>
      <c r="N21" s="112"/>
      <c r="O21" s="112"/>
      <c r="P21" s="112"/>
      <c r="Q21" s="160" t="s">
        <v>439</v>
      </c>
      <c r="S21" s="90" t="s">
        <v>154</v>
      </c>
      <c r="T21" s="90" t="s">
        <v>155</v>
      </c>
      <c r="U21" s="92" t="str">
        <f>$E$2</f>
        <v>GWh</v>
      </c>
      <c r="V21" s="92" t="s">
        <v>153</v>
      </c>
      <c r="W21" s="92"/>
      <c r="X21" s="252"/>
      <c r="Y21" s="92"/>
    </row>
    <row r="22" spans="2:25" x14ac:dyDescent="0.2">
      <c r="B22" s="90" t="str">
        <f>S$21</f>
        <v>Boiler</v>
      </c>
      <c r="C22" s="90" t="str">
        <f>PRI_Sector_Fuels!O7</f>
        <v>MANOILIMP</v>
      </c>
      <c r="D22" s="92" t="str">
        <f>S$5</f>
        <v>MANHEATOIL</v>
      </c>
      <c r="E22" s="107"/>
      <c r="F22" s="104">
        <v>1</v>
      </c>
      <c r="G22" s="105">
        <v>0.8</v>
      </c>
      <c r="H22" s="107">
        <v>1</v>
      </c>
      <c r="I22" s="106">
        <v>30</v>
      </c>
      <c r="J22" s="129"/>
      <c r="K22" s="106">
        <v>1515</v>
      </c>
      <c r="L22" s="106"/>
      <c r="M22" s="106">
        <v>8.76</v>
      </c>
      <c r="N22" s="112"/>
      <c r="O22" s="112"/>
      <c r="P22" s="112"/>
      <c r="Q22" s="90" t="s">
        <v>112</v>
      </c>
      <c r="S22" s="160" t="s">
        <v>166</v>
      </c>
      <c r="T22" s="90" t="s">
        <v>219</v>
      </c>
      <c r="U22" s="90" t="s">
        <v>161</v>
      </c>
      <c r="V22" s="90" t="s">
        <v>153</v>
      </c>
      <c r="W22" s="166" t="s">
        <v>225</v>
      </c>
    </row>
    <row r="23" spans="2:25" s="156" customFormat="1" x14ac:dyDescent="0.2">
      <c r="B23" s="96" t="str">
        <f>S22</f>
        <v>MANELC</v>
      </c>
      <c r="C23" s="96" t="str">
        <f>PRI_Sector_Fuels!O8</f>
        <v>ELC</v>
      </c>
      <c r="D23" s="92" t="str">
        <f>S6</f>
        <v>MANELC</v>
      </c>
      <c r="E23" s="107"/>
      <c r="F23" s="159">
        <v>1</v>
      </c>
      <c r="G23" s="156">
        <v>1</v>
      </c>
      <c r="H23" s="156">
        <v>1</v>
      </c>
      <c r="I23" s="156">
        <v>50</v>
      </c>
      <c r="M23" s="156">
        <v>8.76</v>
      </c>
      <c r="Q23" s="156" t="s">
        <v>439</v>
      </c>
      <c r="S23" s="156" t="s">
        <v>438</v>
      </c>
      <c r="T23" s="156" t="s">
        <v>437</v>
      </c>
      <c r="U23" s="96" t="s">
        <v>161</v>
      </c>
      <c r="V23" s="96" t="s">
        <v>153</v>
      </c>
      <c r="W23" s="167"/>
    </row>
    <row r="24" spans="2:25" s="156" customFormat="1" x14ac:dyDescent="0.2">
      <c r="B24" s="96" t="str">
        <f>S23</f>
        <v>PHEAT</v>
      </c>
      <c r="C24" s="157" t="str">
        <f>DemTechs_INDF!D20</f>
        <v>MANHEATCOAL</v>
      </c>
      <c r="D24" s="92" t="str">
        <f>S9</f>
        <v>MANHEAT</v>
      </c>
      <c r="E24" s="158"/>
      <c r="F24" s="159">
        <f>I32</f>
        <v>0.74661277027941986</v>
      </c>
      <c r="G24" s="156">
        <v>1</v>
      </c>
      <c r="H24" s="156">
        <v>1</v>
      </c>
      <c r="I24" s="156">
        <v>50</v>
      </c>
      <c r="M24" s="156">
        <v>8.76</v>
      </c>
      <c r="U24" s="96"/>
      <c r="V24" s="96"/>
    </row>
    <row r="25" spans="2:25" s="156" customFormat="1" x14ac:dyDescent="0.2">
      <c r="B25" s="96" t="str">
        <f>S23</f>
        <v>PHEAT</v>
      </c>
      <c r="C25" s="157" t="str">
        <f>D22</f>
        <v>MANHEATOIL</v>
      </c>
      <c r="D25" s="92" t="str">
        <f>S9</f>
        <v>MANHEAT</v>
      </c>
      <c r="E25" s="158"/>
      <c r="F25" s="159">
        <f>I33</f>
        <v>0.25338722972058014</v>
      </c>
      <c r="G25" s="156">
        <v>1</v>
      </c>
      <c r="H25" s="156">
        <v>1</v>
      </c>
      <c r="I25" s="156">
        <v>50</v>
      </c>
      <c r="M25" s="156">
        <v>8.76</v>
      </c>
      <c r="U25" s="96"/>
      <c r="V25" s="96"/>
    </row>
    <row r="26" spans="2:25" s="156" customFormat="1" x14ac:dyDescent="0.2">
      <c r="B26" s="96" t="s">
        <v>152</v>
      </c>
      <c r="C26" s="157"/>
      <c r="D26" s="252" t="s">
        <v>470</v>
      </c>
      <c r="E26" s="158"/>
      <c r="F26" s="159"/>
      <c r="N26" s="137">
        <v>0.34100000000000003</v>
      </c>
      <c r="Q26" s="265"/>
      <c r="R26" s="265"/>
      <c r="S26" s="265"/>
      <c r="T26" s="265"/>
      <c r="U26" s="96"/>
      <c r="V26" s="96"/>
    </row>
    <row r="27" spans="2:25" s="156" customFormat="1" x14ac:dyDescent="0.2">
      <c r="B27" s="96" t="s">
        <v>154</v>
      </c>
      <c r="C27" s="157"/>
      <c r="D27" s="252" t="s">
        <v>470</v>
      </c>
      <c r="E27" s="158"/>
      <c r="F27" s="159"/>
      <c r="N27" s="137">
        <v>0.25900000000000001</v>
      </c>
      <c r="V27" s="96"/>
    </row>
    <row r="28" spans="2:25" s="112" customFormat="1" x14ac:dyDescent="0.2">
      <c r="B28" s="160"/>
      <c r="C28" s="92"/>
      <c r="D28" s="92"/>
      <c r="E28" s="158"/>
      <c r="F28" s="159"/>
      <c r="G28" s="156"/>
      <c r="H28" s="156"/>
      <c r="I28" s="156"/>
      <c r="J28" s="156"/>
      <c r="K28" s="156"/>
    </row>
    <row r="29" spans="2:25" x14ac:dyDescent="0.2">
      <c r="B29" s="160"/>
      <c r="C29" s="92"/>
      <c r="D29" s="92"/>
      <c r="E29" s="158"/>
      <c r="F29" s="159"/>
      <c r="G29" s="156"/>
      <c r="H29" s="156"/>
      <c r="I29" s="156"/>
      <c r="J29" s="156"/>
      <c r="K29" s="156"/>
    </row>
    <row r="30" spans="2:25" x14ac:dyDescent="0.2">
      <c r="B30" s="160"/>
      <c r="C30" s="92"/>
      <c r="D30" s="157"/>
      <c r="E30" s="158"/>
      <c r="F30" s="159"/>
      <c r="G30" s="156">
        <v>2022</v>
      </c>
      <c r="H30" s="156">
        <v>2022</v>
      </c>
      <c r="I30" s="156">
        <v>2022</v>
      </c>
      <c r="J30" s="156"/>
      <c r="K30" s="156" t="s">
        <v>445</v>
      </c>
    </row>
    <row r="31" spans="2:25" x14ac:dyDescent="0.2">
      <c r="E31" s="160" t="s">
        <v>442</v>
      </c>
      <c r="F31" s="108"/>
      <c r="G31" s="90">
        <v>3157.661111111111</v>
      </c>
      <c r="H31" s="263">
        <f>G31/(G31+G32)</f>
        <v>0.41136476969163155</v>
      </c>
      <c r="K31" s="263">
        <f>G31/G$35</f>
        <v>0.24025892702523827</v>
      </c>
      <c r="U31" s="92"/>
      <c r="V31" s="92"/>
      <c r="W31" s="166"/>
    </row>
    <row r="32" spans="2:25" x14ac:dyDescent="0.2">
      <c r="E32" s="160" t="s">
        <v>443</v>
      </c>
      <c r="F32" s="108"/>
      <c r="G32" s="90">
        <v>4518.3999999999996</v>
      </c>
      <c r="H32" s="263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3">
        <f t="shared" ref="K32:K34" si="0">G32/G$35</f>
        <v>0.34379431410511396</v>
      </c>
      <c r="R32" s="112"/>
      <c r="T32" s="112"/>
      <c r="U32" s="113"/>
      <c r="V32" s="113"/>
    </row>
    <row r="33" spans="2:11" x14ac:dyDescent="0.2">
      <c r="E33" s="160" t="s">
        <v>45</v>
      </c>
      <c r="F33" s="108"/>
      <c r="G33" s="90">
        <v>2605.1200000000003</v>
      </c>
      <c r="H33" s="109">
        <f>G33/G33</f>
        <v>1</v>
      </c>
      <c r="I33" s="90">
        <f>1-I32</f>
        <v>0.25338722972058014</v>
      </c>
      <c r="K33" s="263">
        <f t="shared" si="0"/>
        <v>0.19821738747377715</v>
      </c>
    </row>
    <row r="34" spans="2:11" x14ac:dyDescent="0.2">
      <c r="E34" s="160" t="s">
        <v>46</v>
      </c>
      <c r="G34" s="90">
        <v>2861.5609722222221</v>
      </c>
      <c r="H34" s="109">
        <f>G34/G34</f>
        <v>1</v>
      </c>
      <c r="I34" s="108">
        <f>H34</f>
        <v>1</v>
      </c>
      <c r="K34" s="263">
        <f t="shared" si="0"/>
        <v>0.21772937139587065</v>
      </c>
    </row>
    <row r="35" spans="2:11" x14ac:dyDescent="0.2">
      <c r="B35" s="106"/>
      <c r="C35" s="90" t="s">
        <v>98</v>
      </c>
      <c r="G35" s="90">
        <v>13142.742083333333</v>
      </c>
      <c r="H35" s="109"/>
      <c r="K35" s="90">
        <f>SUM(K31:K34)</f>
        <v>1</v>
      </c>
    </row>
    <row r="36" spans="2:11" x14ac:dyDescent="0.2">
      <c r="B36" s="110"/>
      <c r="C36" s="90" t="s">
        <v>99</v>
      </c>
      <c r="H36" s="109"/>
    </row>
    <row r="37" spans="2:11" x14ac:dyDescent="0.2">
      <c r="E37" s="90" t="s">
        <v>210</v>
      </c>
      <c r="F37" s="90" t="s">
        <v>212</v>
      </c>
      <c r="H37" s="109"/>
    </row>
    <row r="39" spans="2:11" x14ac:dyDescent="0.2">
      <c r="E39" s="90" t="s">
        <v>211</v>
      </c>
      <c r="F39" s="90">
        <f>24*365</f>
        <v>8760</v>
      </c>
    </row>
    <row r="40" spans="2:11" x14ac:dyDescent="0.2">
      <c r="E40" s="21"/>
      <c r="G40" s="90">
        <f>G31+G32+G33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C7" zoomScale="226" zoomScaleNormal="226" workbookViewId="0">
      <selection activeCell="E9" sqref="E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9" t="s">
        <v>180</v>
      </c>
      <c r="C9" s="279" t="s">
        <v>435</v>
      </c>
      <c r="D9" s="279" t="s">
        <v>161</v>
      </c>
      <c r="E9" s="280">
        <f>E12+E14</f>
        <v>10281.181111111111</v>
      </c>
      <c r="F9" s="280">
        <f>E9*(1+$M$9)^(F6-E6)</f>
        <v>13059.628840978741</v>
      </c>
      <c r="G9" s="280">
        <f t="shared" ref="G9:K9" si="0">F9*(1+$M$9)^(G6-F6)</f>
        <v>19457.059579707369</v>
      </c>
      <c r="H9" s="280">
        <f t="shared" si="0"/>
        <v>28988.355802300906</v>
      </c>
      <c r="I9" s="280">
        <f t="shared" si="0"/>
        <v>43188.68268241336</v>
      </c>
      <c r="J9" s="280">
        <f t="shared" si="0"/>
        <v>64345.226219906523</v>
      </c>
      <c r="K9" s="280">
        <f t="shared" si="0"/>
        <v>95865.580521095617</v>
      </c>
      <c r="L9" s="267"/>
      <c r="M9" s="268">
        <f>EBF!P67</f>
        <v>8.3002040502737851E-2</v>
      </c>
      <c r="N9" s="269"/>
      <c r="O9" s="9" t="s">
        <v>87</v>
      </c>
      <c r="P9" s="9"/>
      <c r="Q9" s="9"/>
      <c r="R9" s="9"/>
    </row>
    <row r="10" spans="2:18" s="20" customFormat="1" ht="14.25" x14ac:dyDescent="0.2">
      <c r="B10" s="279" t="s">
        <v>180</v>
      </c>
      <c r="C10" s="279" t="str">
        <f>C13</f>
        <v>MANELC</v>
      </c>
      <c r="D10" s="279" t="s">
        <v>161</v>
      </c>
      <c r="E10" s="280">
        <f>E13</f>
        <v>2861.5609722222221</v>
      </c>
      <c r="F10" s="280">
        <f>E10*(1+$M$10)^(F6-E6)</f>
        <v>4066.2762112692412</v>
      </c>
      <c r="G10" s="280">
        <f t="shared" ref="G10:K10" si="1">F10*(1+$M$10)^(G6-F6)</f>
        <v>7303.3143733654952</v>
      </c>
      <c r="H10" s="280">
        <f t="shared" si="1"/>
        <v>13117.259641237719</v>
      </c>
      <c r="I10" s="280">
        <f t="shared" si="1"/>
        <v>23559.508970768085</v>
      </c>
      <c r="J10" s="280">
        <f t="shared" si="1"/>
        <v>42314.513711289808</v>
      </c>
      <c r="K10" s="280">
        <f t="shared" si="1"/>
        <v>75999.804276250114</v>
      </c>
      <c r="L10" s="267"/>
      <c r="M10" s="268">
        <f>EBF!P68</f>
        <v>0.12425447242893894</v>
      </c>
      <c r="N10" s="269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6" customFormat="1" ht="13.5" thickBot="1" x14ac:dyDescent="0.25">
      <c r="B11" s="281"/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2"/>
      <c r="N11" s="281"/>
      <c r="O11" s="283" t="s">
        <v>182</v>
      </c>
      <c r="P11" s="283" t="str">
        <f>DemTechs_INDF!S$6</f>
        <v>MANELC</v>
      </c>
      <c r="Q11" s="112" t="s">
        <v>184</v>
      </c>
      <c r="R11" s="284">
        <v>0.25</v>
      </c>
    </row>
    <row r="12" spans="2:18" ht="13.5" thickBot="1" x14ac:dyDescent="0.25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49">
        <f>EBF!P54</f>
        <v>3.5356379202871935E-2</v>
      </c>
      <c r="O12" s="1" t="s">
        <v>182</v>
      </c>
      <c r="P12" s="1" t="str">
        <f>DemTechs_INDF!S$6</f>
        <v>MANELC</v>
      </c>
      <c r="Q12" s="160" t="s">
        <v>446</v>
      </c>
      <c r="R12" s="127">
        <v>1.0416666666666666E-2</v>
      </c>
    </row>
    <row r="13" spans="2:18" ht="13.5" thickBot="1" x14ac:dyDescent="0.25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0">
        <f>EBF!P55</f>
        <v>0.12425447242893894</v>
      </c>
      <c r="O13" s="1" t="s">
        <v>182</v>
      </c>
      <c r="P13" s="1" t="str">
        <f>DemTechs_INDF!S$6</f>
        <v>MANELC</v>
      </c>
      <c r="Q13" s="308" t="s">
        <v>447</v>
      </c>
      <c r="R13" s="128">
        <v>1.0416666666666666E-2</v>
      </c>
    </row>
    <row r="14" spans="2:18" ht="13.5" thickBot="1" x14ac:dyDescent="0.25">
      <c r="B14" s="138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0">
        <f>EBF!P56</f>
        <v>0.29512108466841558</v>
      </c>
      <c r="O14" s="1" t="s">
        <v>182</v>
      </c>
      <c r="P14" s="1" t="str">
        <f>DemTechs_INDF!S$6</f>
        <v>MANELC</v>
      </c>
      <c r="Q14" s="160" t="s">
        <v>448</v>
      </c>
      <c r="R14" s="127">
        <v>1.0416666666666666E-2</v>
      </c>
    </row>
    <row r="15" spans="2:18" ht="13.5" thickBot="1" x14ac:dyDescent="0.25">
      <c r="B15" s="138"/>
      <c r="C15" s="120"/>
      <c r="D15" s="120"/>
      <c r="E15" s="122"/>
      <c r="F15" s="122"/>
      <c r="G15" s="122"/>
      <c r="H15" s="122"/>
      <c r="I15" s="122"/>
      <c r="J15" s="122"/>
      <c r="K15" s="122"/>
      <c r="M15" s="150"/>
      <c r="O15" s="1" t="s">
        <v>182</v>
      </c>
      <c r="P15" s="1" t="str">
        <f>DemTechs_INDF!S$6</f>
        <v>MANELC</v>
      </c>
      <c r="Q15" s="308" t="s">
        <v>449</v>
      </c>
      <c r="R15" s="127">
        <v>1.0416666666666666E-2</v>
      </c>
    </row>
    <row r="16" spans="2:18" ht="13.5" thickBot="1" x14ac:dyDescent="0.25">
      <c r="B16" s="120"/>
      <c r="C16" s="120"/>
      <c r="D16" s="120"/>
      <c r="E16" s="122"/>
      <c r="F16" s="122"/>
      <c r="K16" s="5"/>
      <c r="M16" s="148"/>
      <c r="O16" s="1" t="s">
        <v>182</v>
      </c>
      <c r="P16" s="1" t="str">
        <f>DemTechs_INDF!S$6</f>
        <v>MANELC</v>
      </c>
      <c r="Q16" s="160" t="s">
        <v>450</v>
      </c>
      <c r="R16" s="127">
        <v>1.0416666666666666E-2</v>
      </c>
    </row>
    <row r="17" spans="2:18" x14ac:dyDescent="0.2">
      <c r="B17" s="120"/>
      <c r="C17" s="120"/>
      <c r="D17" s="138" t="s">
        <v>223</v>
      </c>
      <c r="E17" s="251">
        <f t="shared" ref="E17:K17" si="5">E13/(SUM(E12:E14))</f>
        <v>0.21772937139587065</v>
      </c>
      <c r="F17" s="251">
        <f t="shared" si="5"/>
        <v>0.17206109656635865</v>
      </c>
      <c r="G17" s="251">
        <f t="shared" si="5"/>
        <v>0.10213892663798628</v>
      </c>
      <c r="H17" s="251">
        <f t="shared" si="5"/>
        <v>5.4974186089404971E-2</v>
      </c>
      <c r="I17" s="251">
        <f t="shared" si="5"/>
        <v>2.820981538622036E-2</v>
      </c>
      <c r="J17" s="251">
        <f t="shared" si="5"/>
        <v>1.4163230715870792E-2</v>
      </c>
      <c r="K17" s="251">
        <f t="shared" si="5"/>
        <v>7.0410193105184087E-3</v>
      </c>
      <c r="M17" s="148"/>
      <c r="N17" s="5"/>
      <c r="O17" s="1" t="s">
        <v>182</v>
      </c>
      <c r="P17" s="1" t="str">
        <f>DemTechs_INDF!S$6</f>
        <v>MANELC</v>
      </c>
      <c r="Q17" s="308" t="s">
        <v>451</v>
      </c>
      <c r="R17" s="128">
        <v>1.0416666666666666E-2</v>
      </c>
    </row>
    <row r="18" spans="2:18" x14ac:dyDescent="0.2">
      <c r="B18" s="1"/>
      <c r="D18" t="s">
        <v>430</v>
      </c>
      <c r="E18" s="251">
        <f t="shared" ref="E18:K18" si="6">E12/(E12+E13+E14)</f>
        <v>0.19821738747377715</v>
      </c>
      <c r="F18" s="251">
        <f t="shared" si="6"/>
        <v>0.12234412936675308</v>
      </c>
      <c r="G18" s="251">
        <f t="shared" si="6"/>
        <v>4.8108070284866931E-2</v>
      </c>
      <c r="H18" s="251">
        <f t="shared" si="6"/>
        <v>1.7151877024401352E-2</v>
      </c>
      <c r="I18" s="251">
        <f t="shared" si="6"/>
        <v>5.8301440968260955E-3</v>
      </c>
      <c r="J18" s="251">
        <f t="shared" si="6"/>
        <v>1.9389543012860641E-3</v>
      </c>
      <c r="K18" s="251">
        <f t="shared" si="6"/>
        <v>6.3850893342093818E-4</v>
      </c>
      <c r="M18" s="148"/>
      <c r="O18" s="1" t="s">
        <v>182</v>
      </c>
      <c r="P18" s="1" t="str">
        <f>DemTechs_INDF!S$6</f>
        <v>MANELC</v>
      </c>
      <c r="Q18" s="160" t="s">
        <v>452</v>
      </c>
      <c r="R18" s="127">
        <v>1.0416666666666666E-2</v>
      </c>
    </row>
    <row r="19" spans="2:18" x14ac:dyDescent="0.2">
      <c r="D19" t="s">
        <v>429</v>
      </c>
      <c r="E19" s="251">
        <f t="shared" ref="E19:K19" si="7">E14/(E12+E13+E14)</f>
        <v>0.58405324113035217</v>
      </c>
      <c r="F19" s="251">
        <f t="shared" si="7"/>
        <v>0.70559477406688831</v>
      </c>
      <c r="G19" s="251">
        <f t="shared" si="7"/>
        <v>0.84975300307714685</v>
      </c>
      <c r="H19" s="251">
        <f t="shared" si="7"/>
        <v>0.92787393688619357</v>
      </c>
      <c r="I19" s="251">
        <f t="shared" si="7"/>
        <v>0.9659600405169535</v>
      </c>
      <c r="J19" s="251">
        <f t="shared" si="7"/>
        <v>0.98389781498284312</v>
      </c>
      <c r="K19" s="251">
        <f t="shared" si="7"/>
        <v>0.99232047175606064</v>
      </c>
      <c r="O19" s="1" t="s">
        <v>182</v>
      </c>
      <c r="P19" s="1" t="str">
        <f>DemTechs_INDF!S$6</f>
        <v>MANELC</v>
      </c>
      <c r="Q19" s="308" t="s">
        <v>453</v>
      </c>
      <c r="R19" s="127">
        <v>1.0416666666666666E-2</v>
      </c>
    </row>
    <row r="20" spans="2:18" x14ac:dyDescent="0.2">
      <c r="E20" s="262">
        <f>SUM(E17:E19)</f>
        <v>1</v>
      </c>
      <c r="F20" s="262">
        <f t="shared" ref="F20:K20" si="8">SUM(F17:F19)</f>
        <v>1</v>
      </c>
      <c r="G20" s="262">
        <f t="shared" si="8"/>
        <v>1</v>
      </c>
      <c r="H20" s="262">
        <f t="shared" si="8"/>
        <v>0.99999999999999989</v>
      </c>
      <c r="I20" s="262">
        <f t="shared" si="8"/>
        <v>1</v>
      </c>
      <c r="J20" s="262">
        <f t="shared" si="8"/>
        <v>1</v>
      </c>
      <c r="K20" s="262">
        <f t="shared" si="8"/>
        <v>1</v>
      </c>
      <c r="O20" s="1" t="s">
        <v>182</v>
      </c>
      <c r="P20" s="1" t="str">
        <f>DemTechs_INDF!S$6</f>
        <v>MANELC</v>
      </c>
      <c r="Q20" s="160" t="s">
        <v>454</v>
      </c>
      <c r="R20" s="127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s="308" t="s">
        <v>455</v>
      </c>
      <c r="R21" s="128">
        <v>1.0416666666666666E-2</v>
      </c>
    </row>
    <row r="22" spans="2:18" x14ac:dyDescent="0.2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s="160" t="s">
        <v>456</v>
      </c>
      <c r="R22" s="127">
        <v>1.0416666666666666E-2</v>
      </c>
    </row>
    <row r="23" spans="2:18" x14ac:dyDescent="0.2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s="308" t="s">
        <v>457</v>
      </c>
      <c r="R23" s="127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s="160" t="s">
        <v>458</v>
      </c>
      <c r="R24" s="127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s="308" t="s">
        <v>459</v>
      </c>
      <c r="R25" s="128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s="160" t="s">
        <v>460</v>
      </c>
      <c r="R26" s="127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s="308" t="s">
        <v>461</v>
      </c>
      <c r="R27" s="127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s="160" t="s">
        <v>462</v>
      </c>
      <c r="R28" s="127">
        <v>1.0416666666666666E-2</v>
      </c>
    </row>
    <row r="29" spans="2:18" x14ac:dyDescent="0.2">
      <c r="B29" s="121"/>
      <c r="C29" s="1" t="s">
        <v>98</v>
      </c>
      <c r="O29" s="1" t="s">
        <v>182</v>
      </c>
      <c r="P29" s="1" t="str">
        <f>DemTechs_INDF!S$6</f>
        <v>MANELC</v>
      </c>
      <c r="Q29" s="308" t="s">
        <v>463</v>
      </c>
      <c r="R29" s="128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s="160" t="s">
        <v>464</v>
      </c>
      <c r="R30" s="127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s="308" t="s">
        <v>465</v>
      </c>
      <c r="R31" s="127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s="160" t="s">
        <v>466</v>
      </c>
      <c r="R32" s="127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s="308" t="s">
        <v>467</v>
      </c>
      <c r="R33" s="128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s="160" t="s">
        <v>468</v>
      </c>
      <c r="R34" s="127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s="308" t="s">
        <v>469</v>
      </c>
      <c r="R35" s="127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185</v>
      </c>
      <c r="R36" s="127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186</v>
      </c>
      <c r="R37" s="128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187</v>
      </c>
      <c r="R38" s="127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188</v>
      </c>
      <c r="R39" s="127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189</v>
      </c>
      <c r="R40" s="127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190</v>
      </c>
      <c r="R41" s="128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191</v>
      </c>
      <c r="R42" s="127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192</v>
      </c>
      <c r="R43" s="127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193</v>
      </c>
      <c r="R44" s="127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194</v>
      </c>
      <c r="R45" s="128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195</v>
      </c>
      <c r="R46" s="127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196</v>
      </c>
      <c r="R47" s="127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9"/>
      <c r="C8" s="309"/>
      <c r="D8" s="309"/>
      <c r="E8" s="309"/>
      <c r="F8" s="309"/>
      <c r="G8" s="309"/>
      <c r="H8" s="309"/>
      <c r="I8" s="1"/>
    </row>
    <row r="9" spans="2:9" x14ac:dyDescent="0.2">
      <c r="B9" s="136" t="str">
        <f>DemTechs_INDF!S7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2025-11-14T08:42:09Z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