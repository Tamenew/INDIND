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0DC770C9-A6A8-43F6-BCFB-4C4DE59E1D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Y_Data" sheetId="6" r:id="rId1"/>
    <sheet name="IND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0" i="2"/>
  <c r="F5" i="2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<sst xmlns="http://schemas.openxmlformats.org/spreadsheetml/2006/main" count="54" uniqueCount="17">
  <si>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</si>
  <si>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</si>
  <si>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</si>
  <si>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</si>
  <si>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</si>
  <si>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</si>
  <si>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</si>
  <si>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</si>
  <si>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</si>
  <si>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</si>
  <si>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</si>
  <si>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</si>
  <si>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</si>
  <si>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</si>
  <si>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</si>
  <si>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MANHEAT</t>
  </si>
  <si>
    <t>MANELC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</si>
</sst>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11" fillId="7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1" fontId="0" fillId="0" borderId="0" xfId="0" applyNumberFormat="1"/>
    <xf numFmtId="0" fontId="10" fillId="6" borderId="0" xfId="1" applyFont="1" applyFill="1" applyBorder="1" applyAlignment="1">
      <alignment horizontal="center" wrapText="1"/>
    </xf>
    <xf numFmtId="1" fontId="2" fillId="8" borderId="0" xfId="20" applyNumberFormat="1" applyFont="1" applyFill="1"/>
    <xf numFmtId="9" fontId="0" fillId="0" borderId="0" xfId="19" applyFont="1"/>
    <xf numFmtId="0" fontId="5" fillId="0" borderId="0" xfId="5" applyFill="1"/>
  </cellXfs>
  <cellStyles count="21">
    <cellStyle name="40% - Accent3" xfId="1" builtinId="39"/>
    <cellStyle name="Comma 2" xfId="2" xr:uid="{00000000-0005-0000-0000-000001000000}"/>
    <cellStyle name="Neutral" xfId="20" builtinId="28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 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workbookViewId="0">
      <selection activeCell="J20" sqref="J20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9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25">
      <c r="B4" t="s">
        <v>12</v>
      </c>
      <c r="C4" s="10" t="s">
        <v>13</v>
      </c>
      <c r="F4" t="s">
        <v>7</v>
      </c>
      <c r="G4">
        <v>2022</v>
      </c>
      <c r="H4" s="13">
        <v>10281.3477669522</v>
      </c>
      <c r="I4" t="s">
        <v>15</v>
      </c>
    </row>
    <row r="5" spans="2:9" x14ac:dyDescent="0.25">
      <c r="B5" t="s">
        <v>12</v>
      </c>
      <c r="C5" t="s">
        <v>13</v>
      </c>
      <c r="F5" t="s">
        <v>7</v>
      </c>
      <c r="G5">
        <v>2022</v>
      </c>
      <c r="H5">
        <v>2861.5612011470998</v>
      </c>
      <c r="I5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K14" sqref="K1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1" ht="51.75" customHeight="1" x14ac:dyDescent="0.25">
      <c r="A1" t="s">
        <v>6</v>
      </c>
      <c r="J1" s="12" t="s">
        <v>8</v>
      </c>
      <c r="K1" s="12"/>
    </row>
    <row r="2" spans="1:11" x14ac:dyDescent="0.25">
      <c r="B2" s="1" t="s">
        <v>4</v>
      </c>
      <c r="G2" s="2"/>
      <c r="J2" t="s">
        <v>15</v>
      </c>
      <c r="K2" t="s">
        <v>16</v>
      </c>
    </row>
    <row r="3" spans="1:11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  <c r="K3" s="8" t="s">
        <v>14</v>
      </c>
    </row>
    <row r="4" spans="1:11" x14ac:dyDescent="0.25">
      <c r="D4" t="s">
        <v>7</v>
      </c>
      <c r="E4">
        <v>2025</v>
      </c>
      <c r="F4" s="11">
        <f>BY_Data!$H$4*(1+$J$4)^(E4-2022)</f>
        <v>20811.797787542779</v>
      </c>
      <c r="G4" s="6" t="s">
        <v>15</v>
      </c>
      <c r="J4" s="9">
        <v>0.26498832137448636</v>
      </c>
      <c r="K4" s="14">
        <v>8.8730723400078371E-2</v>
      </c>
    </row>
    <row r="5" spans="1:11" x14ac:dyDescent="0.25">
      <c r="D5" t="s">
        <v>7</v>
      </c>
      <c r="E5">
        <v>2030</v>
      </c>
      <c r="F5" s="11">
        <f>BY_Data!$H$4*(1+$J$4)^(E5-2022)</f>
        <v>67412.770774944656</v>
      </c>
      <c r="G5" s="6" t="s">
        <v>15</v>
      </c>
      <c r="J5" s="9"/>
    </row>
    <row r="6" spans="1:11" x14ac:dyDescent="0.25">
      <c r="D6" t="s">
        <v>7</v>
      </c>
      <c r="E6">
        <v>2035</v>
      </c>
      <c r="F6" s="11">
        <f>BY_Data!$H$4*(1+$J$4)^(E6-2022)</f>
        <v>218360.84080518034</v>
      </c>
      <c r="G6" s="6" t="s">
        <v>15</v>
      </c>
      <c r="J6" s="9"/>
    </row>
    <row r="7" spans="1:11" x14ac:dyDescent="0.25">
      <c r="D7" t="s">
        <v>7</v>
      </c>
      <c r="E7">
        <v>2040</v>
      </c>
      <c r="F7" s="11">
        <f>BY_Data!$H$4*(1+$J$4)^(E7-2022)</f>
        <v>707305.9933455087</v>
      </c>
      <c r="G7" s="6" t="s">
        <v>15</v>
      </c>
      <c r="J7" s="9"/>
    </row>
    <row r="8" spans="1:11" x14ac:dyDescent="0.25">
      <c r="D8" t="s">
        <v>7</v>
      </c>
      <c r="E8">
        <v>2045</v>
      </c>
      <c r="F8" s="11">
        <f>BY_Data!$H$4*(1+$J$4)^(E8-2022)</f>
        <v>2291078.2280272678</v>
      </c>
      <c r="G8" s="6" t="s">
        <v>15</v>
      </c>
    </row>
    <row r="9" spans="1:11" x14ac:dyDescent="0.25">
      <c r="D9" t="s">
        <v>7</v>
      </c>
      <c r="E9">
        <v>2050</v>
      </c>
      <c r="F9" s="11">
        <f>BY_Data!$H$4*(1+$J$4)^(E9-2022)</f>
        <v>7421172.019358933</v>
      </c>
      <c r="G9" s="6" t="s">
        <v>15</v>
      </c>
    </row>
    <row r="10" spans="1:11" x14ac:dyDescent="0.25">
      <c r="D10" t="s">
        <v>7</v>
      </c>
      <c r="E10">
        <v>2025</v>
      </c>
      <c r="F10" s="11">
        <f>BY_Data!$H$5*(1+$K$4)^(E10-2022)</f>
        <v>3692.8738709213426</v>
      </c>
      <c r="G10" s="15" t="s">
        <v>16</v>
      </c>
    </row>
    <row r="11" spans="1:11" x14ac:dyDescent="0.25">
      <c r="D11" t="s">
        <v>7</v>
      </c>
      <c r="E11">
        <v>2030</v>
      </c>
      <c r="F11" s="11">
        <f>BY_Data!$H$5*(1+$K$4)^(E11-2022)</f>
        <v>5648.9387778083592</v>
      </c>
      <c r="G11" s="15" t="s">
        <v>16</v>
      </c>
    </row>
    <row r="12" spans="1:11" x14ac:dyDescent="0.25">
      <c r="D12" t="s">
        <v>7</v>
      </c>
      <c r="E12">
        <v>2035</v>
      </c>
      <c r="F12" s="11">
        <f>BY_Data!$H$5*(1+$K$4)^(E12-2022)</f>
        <v>8641.1045789293585</v>
      </c>
      <c r="G12" s="15" t="s">
        <v>16</v>
      </c>
    </row>
    <row r="13" spans="1:11" x14ac:dyDescent="0.25">
      <c r="D13" t="s">
        <v>7</v>
      </c>
      <c r="E13">
        <v>2040</v>
      </c>
      <c r="F13" s="11">
        <f>BY_Data!$H$5*(1+$K$4)^(E13-2022)</f>
        <v>13218.179782249905</v>
      </c>
      <c r="G13" s="15" t="s">
        <v>16</v>
      </c>
    </row>
    <row r="14" spans="1:11" x14ac:dyDescent="0.25">
      <c r="D14" t="s">
        <v>7</v>
      </c>
      <c r="E14">
        <v>2045</v>
      </c>
      <c r="F14" s="11">
        <f>BY_Data!$H$5*(1+$K$4)^(E14-2022)</f>
        <v>20219.669274912092</v>
      </c>
      <c r="G14" s="15" t="s">
        <v>16</v>
      </c>
    </row>
    <row r="15" spans="1:11" x14ac:dyDescent="0.25">
      <c r="D15" t="s">
        <v>7</v>
      </c>
      <c r="E15">
        <v>2050</v>
      </c>
      <c r="F15" s="11">
        <f>BY_Data!$H$5*(1+$K$4)^(E15-2022)</f>
        <v>30929.752229261561</v>
      </c>
      <c r="G15" s="15" t="s">
        <v>16</v>
      </c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IND_Dem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