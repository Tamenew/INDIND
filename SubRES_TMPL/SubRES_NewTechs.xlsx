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6D3A0943-88C3-41D5-9314-027B30424CB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6" l="1"/>
  <c r="B28" i="7"/>
  <c r="B27" i="7"/>
  <c r="B26" i="7"/>
  <c r="D39" i="7"/>
  <c r="B38" i="7"/>
  <c r="B37" i="7"/>
  <c r="D35" i="6"/>
  <c r="C35" i="7"/>
  <c r="C34" i="7"/>
  <c r="C33" i="7"/>
  <c r="C36" i="7"/>
  <c r="C25" i="7"/>
  <c r="B25" i="7"/>
  <c r="D27" i="6"/>
  <c r="D26" i="6"/>
  <c r="B35" i="6"/>
  <c r="B23" i="7"/>
  <c r="D37" i="6"/>
  <c r="D36" i="6"/>
  <c r="B37" i="6"/>
  <c r="B36" i="6"/>
  <c r="C35" i="6"/>
  <c r="C34" i="6"/>
  <c r="C33" i="6"/>
  <c r="I35" i="6"/>
  <c r="I34" i="6"/>
  <c r="I33" i="6"/>
  <c r="I27" i="6"/>
  <c r="I26" i="6"/>
  <c r="B24" i="7"/>
  <c r="B22" i="7"/>
  <c r="C24" i="7"/>
  <c r="C22" i="7"/>
  <c r="B21" i="7"/>
  <c r="B33" i="6"/>
  <c r="B34" i="6"/>
  <c r="Q27" i="6"/>
  <c r="F4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<sst xmlns="http://schemas.openxmlformats.org/spreadsheetml/2006/main" count="314" uniqueCount="137">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</sst>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101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0" fontId="5" fillId="8" borderId="0" xfId="6" applyFont="1" applyFill="1" applyAlignment="1">
      <alignment horizontal="center" vertical="center" wrapText="1"/>
    </xf>
    <xf numFmtId="0" fontId="14" fillId="8" borderId="0" xfId="20" applyFont="1" applyFill="1" applyBorder="1" applyAlignment="1">
      <alignment horizontal="left" wrapText="1"/>
    </xf>
    <xf numFmtId="0" fontId="14" fillId="8" borderId="0" xfId="20" applyFont="1" applyFill="1" applyBorder="1" applyAlignment="1">
      <alignment horizontal="center" wrapText="1"/>
    </xf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  <xf numFmtId="165" fontId="0" fillId="8" borderId="0" xfId="0" applyNumberFormat="1" applyFill="1"/>
    <xf numFmtId="165" fontId="0" fillId="8" borderId="0" xfId="0" applyNumberFormat="1" applyFill="1" applyAlignment="1">
      <alignment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45</xdr:row>
      <xdr:rowOff>65943</xdr:rowOff>
    </xdr:from>
    <xdr:to>
      <xdr:col>17</xdr:col>
      <xdr:colOff>3771674</xdr:colOff>
      <xdr:row>50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15" zoomScale="96" zoomScaleNormal="96" workbookViewId="0">
      <selection activeCell="F22" sqref="F2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9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70" t="s">
        <v>59</v>
      </c>
      <c r="O8" s="70"/>
      <c r="P8" s="70" t="s">
        <v>72</v>
      </c>
      <c r="Q8" s="70" t="s">
        <v>103</v>
      </c>
      <c r="R8" s="70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70" t="s">
        <v>59</v>
      </c>
      <c r="O9" s="70"/>
      <c r="P9" s="70" t="s">
        <v>109</v>
      </c>
      <c r="Q9" s="70" t="s">
        <v>104</v>
      </c>
      <c r="R9" s="70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91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91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91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91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92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93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94"/>
      <c r="N25" s="20" t="s">
        <v>82</v>
      </c>
      <c r="O25" s="29" t="s">
        <v>136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f>[1]TechnologydataTech!$C$33/1000</f>
        <v>14.00399887968009</v>
      </c>
      <c r="J26" s="32"/>
      <c r="K26" s="33">
        <v>8.76</v>
      </c>
      <c r="L26" s="67"/>
      <c r="N26" s="82" t="s">
        <v>64</v>
      </c>
      <c r="O26" s="82"/>
      <c r="P26" s="83" t="s">
        <v>134</v>
      </c>
      <c r="Q26" s="84" t="str">
        <f>"Domestic Supply of "&amp;$D$4&amp;" "</f>
        <v xml:space="preserve">Domestic Supply of Biomass </v>
      </c>
      <c r="R26" s="82" t="s">
        <v>58</v>
      </c>
      <c r="S26" s="82"/>
      <c r="T26" s="82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f>[1]TechnologydataTech!$C$34/1000</f>
        <v>27.575997793920177</v>
      </c>
      <c r="J27" s="36"/>
      <c r="K27" s="33">
        <v>8.76</v>
      </c>
      <c r="L27" s="67"/>
      <c r="N27" s="82" t="s">
        <v>64</v>
      </c>
      <c r="O27" s="82"/>
      <c r="P27" s="83" t="s">
        <v>135</v>
      </c>
      <c r="Q27" s="84" t="str">
        <f>"Domestic Supply of "&amp;$D$5&amp;" "</f>
        <v xml:space="preserve">Domestic Supply of Ngas </v>
      </c>
      <c r="R27" s="82" t="s">
        <v>58</v>
      </c>
      <c r="S27" s="82"/>
      <c r="T27" s="82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7"/>
      <c r="N28" s="82"/>
      <c r="O28" s="82"/>
      <c r="P28" s="83"/>
      <c r="Q28" s="84"/>
      <c r="R28" s="82"/>
      <c r="S28" s="82"/>
      <c r="T28" s="82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7"/>
      <c r="N29" s="82"/>
      <c r="O29" s="82"/>
      <c r="P29" s="83"/>
      <c r="Q29" s="84"/>
      <c r="R29" s="82"/>
      <c r="S29" s="82"/>
      <c r="T29" s="82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7"/>
      <c r="N30" s="82"/>
      <c r="O30" s="82"/>
      <c r="P30" s="83"/>
      <c r="Q30" s="84"/>
      <c r="R30" s="82"/>
      <c r="S30" s="82"/>
      <c r="T30" s="82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7"/>
      <c r="N31" s="82"/>
      <c r="O31" s="82"/>
      <c r="P31" s="83"/>
      <c r="Q31" s="84"/>
      <c r="R31" s="82"/>
      <c r="S31" s="82"/>
      <c r="T31" s="82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7"/>
      <c r="N32" s="82"/>
      <c r="O32" s="82"/>
      <c r="P32" s="83"/>
      <c r="Q32" s="84"/>
      <c r="R32" s="82"/>
      <c r="S32" s="82"/>
      <c r="T32" s="82"/>
    </row>
    <row r="33" spans="2:20" x14ac:dyDescent="0.2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8">
        <f>[1]TechnologydataTech!$D$6*365*24/1000000000</f>
        <v>9.1191599999999994E-3</v>
      </c>
      <c r="J33" s="36"/>
      <c r="K33" s="79">
        <v>8.76</v>
      </c>
      <c r="L33" s="67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8">
        <f>[1]TechnologydataTech!$D$4*365*24/1000000000</f>
        <v>6.0531600000000001E-3</v>
      </c>
      <c r="J34" s="36"/>
      <c r="K34" s="79">
        <v>8.76</v>
      </c>
      <c r="L34" s="67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">
      <c r="B35" s="19" t="str">
        <f>P37</f>
        <v>CSP</v>
      </c>
      <c r="C35" s="19" t="str">
        <f>P9</f>
        <v>SOLAR</v>
      </c>
      <c r="D35" s="19" t="str">
        <f>DemTechs_INDF!Q11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80">
        <f>[1]TechnologydataTech!$D$12*365*24/1000000000</f>
        <v>3.2210519999999999E-2</v>
      </c>
      <c r="J35" s="36"/>
      <c r="K35" s="79">
        <v>8.76</v>
      </c>
      <c r="L35" s="67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81">
        <v>0</v>
      </c>
      <c r="J36" s="68"/>
      <c r="K36" s="79">
        <v>8.76</v>
      </c>
      <c r="L36" s="67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81">
        <v>0</v>
      </c>
      <c r="J37" s="68"/>
      <c r="K37" s="79">
        <v>8.76</v>
      </c>
      <c r="L37" s="67"/>
      <c r="N37" s="21" t="s">
        <v>121</v>
      </c>
      <c r="O37" s="21"/>
      <c r="P37" s="19" t="s">
        <v>65</v>
      </c>
      <c r="Q37" s="37" t="s">
        <v>120</v>
      </c>
      <c r="R37" s="21" t="s">
        <v>58</v>
      </c>
      <c r="S37" s="21"/>
      <c r="T37" s="21" t="s">
        <v>89</v>
      </c>
    </row>
    <row r="38" spans="2:20" x14ac:dyDescent="0.2">
      <c r="B38" s="12"/>
      <c r="C38" s="12"/>
      <c r="D38" s="12"/>
      <c r="E38" s="1"/>
      <c r="F38" s="1"/>
      <c r="G38" s="1"/>
      <c r="I38" s="71"/>
      <c r="J38" s="68"/>
      <c r="K38" s="72"/>
      <c r="L38" s="67"/>
      <c r="N38" s="76"/>
      <c r="O38" s="75"/>
      <c r="P38" s="73"/>
      <c r="Q38" s="77"/>
    </row>
    <row r="39" spans="2:20" x14ac:dyDescent="0.2">
      <c r="B39" s="12"/>
      <c r="C39" s="15"/>
      <c r="D39" s="12"/>
      <c r="E39" s="1"/>
      <c r="F39" s="1"/>
      <c r="G39" s="1"/>
      <c r="I39" s="71"/>
      <c r="J39" s="68"/>
      <c r="K39" s="72"/>
      <c r="L39" s="67"/>
      <c r="N39" s="75"/>
      <c r="O39" s="75"/>
      <c r="P39" s="74"/>
      <c r="Q39" s="77"/>
    </row>
    <row r="40" spans="2:20" x14ac:dyDescent="0.2">
      <c r="B40" s="12"/>
      <c r="C40" s="15"/>
      <c r="D40" s="12"/>
      <c r="E40" s="1"/>
      <c r="F40" s="1"/>
      <c r="G40" s="1"/>
      <c r="I40" s="71"/>
      <c r="J40" s="68"/>
      <c r="K40" s="72"/>
      <c r="L40" s="67"/>
      <c r="N40" s="75"/>
      <c r="O40" s="75"/>
      <c r="P40" s="74"/>
      <c r="Q40" s="77"/>
    </row>
    <row r="41" spans="2:20" x14ac:dyDescent="0.2">
      <c r="B41" s="12"/>
      <c r="C41" s="15"/>
      <c r="D41" s="12"/>
      <c r="E41" s="1"/>
      <c r="F41" s="1"/>
      <c r="G41" s="1"/>
      <c r="I41" s="71"/>
      <c r="J41" s="68"/>
      <c r="K41" s="72"/>
      <c r="L41" s="67"/>
      <c r="N41" s="75"/>
      <c r="O41" s="75"/>
      <c r="P41" s="74"/>
      <c r="Q41" s="77"/>
    </row>
    <row r="42" spans="2:20" x14ac:dyDescent="0.2">
      <c r="B42" s="12"/>
      <c r="C42" s="1"/>
      <c r="D42" s="12"/>
      <c r="E42" s="1"/>
      <c r="F42" s="1"/>
      <c r="G42" s="1"/>
      <c r="I42" s="71"/>
      <c r="J42" s="68"/>
      <c r="K42" s="72"/>
      <c r="L42" s="67"/>
      <c r="N42" s="75"/>
      <c r="O42" s="75"/>
      <c r="P42" s="74"/>
      <c r="Q42" s="77"/>
    </row>
    <row r="43" spans="2:20" x14ac:dyDescent="0.2">
      <c r="B43" s="8"/>
      <c r="C43" s="12"/>
      <c r="D43" s="12"/>
      <c r="E43" s="1"/>
      <c r="F43" s="1"/>
      <c r="G43" s="1"/>
      <c r="I43" s="71"/>
      <c r="J43" s="68"/>
      <c r="K43" s="72"/>
      <c r="L43" s="67"/>
      <c r="N43" s="75"/>
      <c r="O43" s="75"/>
      <c r="P43" s="74"/>
      <c r="Q43" s="77"/>
    </row>
    <row r="44" spans="2:20" x14ac:dyDescent="0.2">
      <c r="B44" s="8"/>
      <c r="C44" s="12"/>
      <c r="D44" s="12"/>
      <c r="E44" s="1"/>
      <c r="F44" s="1"/>
      <c r="G44" s="1"/>
      <c r="I44" s="71"/>
      <c r="J44" s="68"/>
      <c r="K44" s="72"/>
      <c r="L44" s="67"/>
      <c r="N44" s="75"/>
      <c r="O44" s="75"/>
      <c r="P44" s="74"/>
      <c r="Q44" s="77"/>
    </row>
    <row r="45" spans="2:20" x14ac:dyDescent="0.2">
      <c r="B45" s="8"/>
      <c r="C45" s="12"/>
      <c r="D45" s="12"/>
      <c r="E45" s="1"/>
      <c r="F45" s="1"/>
      <c r="G45" s="1"/>
      <c r="I45" s="71"/>
      <c r="J45" s="68"/>
      <c r="K45" s="72"/>
      <c r="L45" s="67"/>
      <c r="N45" s="75"/>
      <c r="O45" s="75"/>
      <c r="P45" s="74"/>
      <c r="Q45" s="77"/>
    </row>
    <row r="46" spans="2:20" x14ac:dyDescent="0.2">
      <c r="B46" s="8"/>
      <c r="C46" s="1"/>
      <c r="D46" s="12"/>
      <c r="E46" s="1"/>
      <c r="F46" s="1"/>
      <c r="G46" s="1"/>
      <c r="I46" s="71"/>
      <c r="J46" s="68"/>
      <c r="K46" s="72"/>
      <c r="L46" s="67"/>
      <c r="N46" s="75"/>
      <c r="O46" s="75"/>
      <c r="P46" s="74"/>
      <c r="Q46" s="77"/>
    </row>
    <row r="47" spans="2:20" x14ac:dyDescent="0.2">
      <c r="B47" s="12"/>
      <c r="C47" s="1"/>
      <c r="D47" s="12"/>
      <c r="E47" s="1"/>
      <c r="F47" s="1"/>
      <c r="G47" s="1"/>
      <c r="I47" s="67"/>
      <c r="J47" s="68"/>
      <c r="K47" s="67"/>
      <c r="L47" s="67"/>
      <c r="N47" s="75"/>
      <c r="O47" s="75"/>
      <c r="P47" s="74"/>
      <c r="Q47" s="77"/>
    </row>
    <row r="48" spans="2:20" x14ac:dyDescent="0.2">
      <c r="B48" s="12"/>
      <c r="C48" s="1"/>
      <c r="D48" s="12"/>
      <c r="E48" s="1"/>
      <c r="F48" s="1"/>
      <c r="G48" s="1"/>
      <c r="I48" s="67"/>
      <c r="J48" s="68"/>
      <c r="K48" s="67"/>
      <c r="L48" s="67"/>
      <c r="N48" s="75"/>
      <c r="O48" s="75"/>
      <c r="P48" s="74"/>
      <c r="Q48" s="77"/>
    </row>
    <row r="49" spans="1:23" x14ac:dyDescent="0.2">
      <c r="B49" s="12"/>
      <c r="D49" s="12"/>
      <c r="E49" s="1"/>
      <c r="F49" s="1"/>
      <c r="G49" s="1"/>
      <c r="I49" s="67"/>
      <c r="J49" s="68"/>
      <c r="K49" s="67"/>
      <c r="L49" s="67"/>
      <c r="P49" s="15"/>
      <c r="Q49" s="34"/>
    </row>
    <row r="50" spans="1:23" x14ac:dyDescent="0.2">
      <c r="I50" s="67"/>
      <c r="J50" s="68"/>
      <c r="K50" s="67"/>
      <c r="L50" s="67"/>
      <c r="P50" s="15"/>
      <c r="Q50" s="34"/>
    </row>
    <row r="51" spans="1:23" x14ac:dyDescent="0.2">
      <c r="B51" s="30"/>
      <c r="C51" s="1" t="s">
        <v>83</v>
      </c>
      <c r="I51" s="67"/>
      <c r="J51" s="68"/>
      <c r="K51" s="67"/>
      <c r="L51" s="67"/>
    </row>
    <row r="52" spans="1:23" x14ac:dyDescent="0.2">
      <c r="B52" s="38"/>
      <c r="C52" s="1" t="s">
        <v>84</v>
      </c>
      <c r="I52" s="67"/>
      <c r="J52" s="68"/>
      <c r="K52" s="67"/>
      <c r="L52" s="67"/>
    </row>
    <row r="53" spans="1:23" x14ac:dyDescent="0.2">
      <c r="I53" s="67"/>
      <c r="J53" s="68"/>
      <c r="K53" s="67"/>
      <c r="L53" s="67"/>
    </row>
    <row r="54" spans="1:23" x14ac:dyDescent="0.2">
      <c r="I54" s="69"/>
      <c r="J54" s="69"/>
      <c r="K54" s="69"/>
    </row>
    <row r="61" spans="1:23" s="1" customFormat="1" x14ac:dyDescent="0.2">
      <c r="A61"/>
      <c r="B61"/>
      <c r="C61"/>
      <c r="D61"/>
      <c r="E61"/>
      <c r="F61"/>
      <c r="G61"/>
      <c r="H61"/>
      <c r="I61"/>
      <c r="J61"/>
      <c r="K61"/>
      <c r="L61" s="69"/>
      <c r="M61"/>
      <c r="N61"/>
      <c r="O61"/>
      <c r="P61"/>
      <c r="Q61"/>
      <c r="R61"/>
      <c r="S61"/>
      <c r="T61"/>
      <c r="U61"/>
      <c r="V61"/>
      <c r="W61"/>
    </row>
    <row r="62" spans="1:23" x14ac:dyDescent="0.2">
      <c r="W62" s="1"/>
    </row>
    <row r="63" spans="1:23" x14ac:dyDescent="0.2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X47"/>
  <sheetViews>
    <sheetView tabSelected="1" topLeftCell="A11" zoomScale="118" zoomScaleNormal="118" workbookViewId="0">
      <selection activeCell="J26" sqref="J26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3" width="8.140625" style="8" customWidth="1"/>
    <col min="14" max="14" width="8.140625" style="60" customWidth="1"/>
    <col min="15" max="15" width="12.7109375" style="8" bestFit="1" customWidth="1"/>
    <col min="16" max="16" width="7.140625" style="8" customWidth="1"/>
    <col min="17" max="17" width="11.42578125" style="8" bestFit="1" customWidth="1"/>
    <col min="18" max="18" width="63.85546875" style="8" bestFit="1" customWidth="1"/>
    <col min="19" max="19" width="8.28515625" style="8" bestFit="1" customWidth="1"/>
    <col min="20" max="20" width="11.7109375" style="8" customWidth="1"/>
    <col min="21" max="21" width="13.42578125" style="8" customWidth="1"/>
    <col min="22" max="22" width="13.85546875" style="8" customWidth="1"/>
    <col min="23" max="23" width="8.42578125" style="8" customWidth="1"/>
    <col min="24" max="16384" width="8.85546875" style="8"/>
  </cols>
  <sheetData>
    <row r="1" spans="2:24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4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O2" s="40" t="s">
        <v>7</v>
      </c>
      <c r="P2" s="40"/>
      <c r="Q2" s="16"/>
      <c r="R2" s="16"/>
      <c r="S2" s="16"/>
      <c r="T2" s="16"/>
      <c r="U2" s="16"/>
      <c r="V2" s="16"/>
      <c r="W2" s="16"/>
    </row>
    <row r="3" spans="2:24" x14ac:dyDescent="0.2">
      <c r="O3" s="41" t="s">
        <v>8</v>
      </c>
      <c r="P3" s="42" t="s">
        <v>42</v>
      </c>
      <c r="Q3" s="41" t="s">
        <v>6</v>
      </c>
      <c r="R3" s="41" t="s">
        <v>9</v>
      </c>
      <c r="S3" s="41" t="s">
        <v>10</v>
      </c>
      <c r="T3" s="41" t="s">
        <v>11</v>
      </c>
      <c r="U3" s="41" t="s">
        <v>12</v>
      </c>
      <c r="V3" s="41" t="s">
        <v>13</v>
      </c>
      <c r="W3" s="41" t="s">
        <v>14</v>
      </c>
    </row>
    <row r="4" spans="2:24" ht="24" thickBot="1" x14ac:dyDescent="0.3">
      <c r="B4" s="43"/>
      <c r="C4" s="43"/>
      <c r="D4" s="43"/>
      <c r="E4" s="43"/>
      <c r="F4" s="43"/>
      <c r="G4" s="43"/>
      <c r="O4" s="44" t="s">
        <v>43</v>
      </c>
      <c r="P4" s="44" t="s">
        <v>44</v>
      </c>
      <c r="Q4" s="44" t="s">
        <v>23</v>
      </c>
      <c r="R4" s="44" t="s">
        <v>24</v>
      </c>
      <c r="S4" s="44" t="s">
        <v>10</v>
      </c>
      <c r="T4" s="44" t="s">
        <v>45</v>
      </c>
      <c r="U4" s="44" t="s">
        <v>46</v>
      </c>
      <c r="V4" s="44" t="s">
        <v>25</v>
      </c>
      <c r="W4" s="44" t="s">
        <v>26</v>
      </c>
    </row>
    <row r="5" spans="2:24" ht="15.75" x14ac:dyDescent="0.25">
      <c r="B5" s="43"/>
      <c r="C5" s="43"/>
      <c r="D5" s="43"/>
      <c r="E5" s="43"/>
      <c r="F5" s="43"/>
      <c r="G5" s="43"/>
      <c r="O5" s="65"/>
      <c r="P5" s="65"/>
      <c r="Q5" s="65"/>
      <c r="R5" s="65"/>
      <c r="S5" s="65"/>
      <c r="T5" s="65"/>
      <c r="U5" s="65"/>
      <c r="V5" s="65"/>
      <c r="W5" s="65"/>
    </row>
    <row r="6" spans="2:24" ht="15.75" x14ac:dyDescent="0.25">
      <c r="B6" s="43"/>
      <c r="C6" s="43"/>
      <c r="D6" s="43"/>
      <c r="E6" s="43"/>
      <c r="F6" s="43"/>
      <c r="G6" s="43"/>
      <c r="O6" s="98" t="s">
        <v>59</v>
      </c>
      <c r="P6" s="98"/>
      <c r="Q6" s="98" t="s">
        <v>72</v>
      </c>
      <c r="R6" s="98" t="s">
        <v>103</v>
      </c>
      <c r="S6" s="98" t="s">
        <v>58</v>
      </c>
      <c r="T6" s="98"/>
      <c r="U6" s="98"/>
      <c r="V6" s="98"/>
      <c r="W6" s="98"/>
    </row>
    <row r="7" spans="2:24" ht="15.75" x14ac:dyDescent="0.25">
      <c r="B7" s="43"/>
      <c r="C7" s="43"/>
      <c r="D7" s="43"/>
      <c r="E7" s="43"/>
      <c r="F7" s="43"/>
      <c r="G7" s="43"/>
      <c r="O7" s="98" t="s">
        <v>59</v>
      </c>
      <c r="P7" s="98"/>
      <c r="Q7" s="98" t="s">
        <v>109</v>
      </c>
      <c r="R7" s="98" t="s">
        <v>104</v>
      </c>
      <c r="S7" s="98" t="s">
        <v>58</v>
      </c>
      <c r="T7" s="98"/>
      <c r="U7" s="98"/>
      <c r="V7" s="98"/>
      <c r="W7" s="98"/>
    </row>
    <row r="8" spans="2:24" ht="15.75" x14ac:dyDescent="0.25">
      <c r="B8" s="43"/>
      <c r="C8" s="43"/>
      <c r="D8" s="43"/>
      <c r="E8" s="43"/>
      <c r="F8" s="43"/>
      <c r="G8" s="43"/>
      <c r="O8" s="96" t="s">
        <v>59</v>
      </c>
      <c r="P8" s="96"/>
      <c r="Q8" s="96" t="s">
        <v>122</v>
      </c>
      <c r="R8" s="96" t="s">
        <v>127</v>
      </c>
      <c r="S8" s="96" t="s">
        <v>58</v>
      </c>
      <c r="T8" s="95"/>
      <c r="U8" s="95"/>
      <c r="V8" s="95"/>
      <c r="W8" s="95"/>
      <c r="X8" s="60"/>
    </row>
    <row r="9" spans="2:24" ht="15.75" x14ac:dyDescent="0.25">
      <c r="B9" s="43"/>
      <c r="C9" s="43"/>
      <c r="D9" s="43"/>
      <c r="E9" s="43"/>
      <c r="F9" s="43"/>
      <c r="G9" s="43"/>
      <c r="O9" s="96" t="s">
        <v>59</v>
      </c>
      <c r="P9" s="96"/>
      <c r="Q9" s="96" t="s">
        <v>125</v>
      </c>
      <c r="R9" s="96" t="s">
        <v>128</v>
      </c>
      <c r="S9" s="96" t="s">
        <v>58</v>
      </c>
      <c r="T9" s="62"/>
      <c r="U9" s="62"/>
      <c r="V9" s="62"/>
      <c r="W9" s="62"/>
      <c r="X9" s="60"/>
    </row>
    <row r="10" spans="2:24" ht="15.75" x14ac:dyDescent="0.25">
      <c r="B10" s="43"/>
      <c r="C10" s="43"/>
      <c r="D10" s="43"/>
      <c r="E10" s="43"/>
      <c r="F10" s="43"/>
      <c r="G10" s="43"/>
      <c r="O10" s="96" t="s">
        <v>59</v>
      </c>
      <c r="P10" s="96"/>
      <c r="Q10" s="96" t="s">
        <v>126</v>
      </c>
      <c r="R10" s="96" t="s">
        <v>129</v>
      </c>
      <c r="S10" s="96" t="s">
        <v>58</v>
      </c>
      <c r="T10" s="62"/>
      <c r="U10" s="62"/>
      <c r="V10" s="62"/>
      <c r="W10" s="62"/>
      <c r="X10" s="60"/>
    </row>
    <row r="11" spans="2:24" ht="15.75" x14ac:dyDescent="0.25">
      <c r="B11" s="43"/>
      <c r="C11" s="43"/>
      <c r="D11" s="43"/>
      <c r="E11" s="43"/>
      <c r="F11" s="43"/>
      <c r="G11" s="43"/>
      <c r="O11" s="97" t="s">
        <v>59</v>
      </c>
      <c r="P11" s="97"/>
      <c r="Q11" s="97" t="s">
        <v>123</v>
      </c>
      <c r="R11" s="97" t="s">
        <v>130</v>
      </c>
      <c r="S11" s="97" t="s">
        <v>58</v>
      </c>
      <c r="T11" s="62"/>
      <c r="U11" s="62"/>
      <c r="V11" s="62"/>
      <c r="W11" s="62"/>
      <c r="X11" s="60"/>
    </row>
    <row r="12" spans="2:24" x14ac:dyDescent="0.2">
      <c r="O12" s="62"/>
      <c r="P12" s="62"/>
      <c r="Q12" s="62"/>
      <c r="R12" s="62"/>
      <c r="S12" s="95"/>
      <c r="T12" s="62"/>
      <c r="U12" s="62"/>
      <c r="V12" s="62"/>
      <c r="W12" s="62"/>
      <c r="X12" s="60"/>
    </row>
    <row r="13" spans="2:24" x14ac:dyDescent="0.2">
      <c r="O13" s="16"/>
      <c r="P13" s="16"/>
      <c r="Q13" s="16"/>
      <c r="R13" s="16"/>
      <c r="S13" s="16"/>
      <c r="T13" s="16"/>
      <c r="U13" s="16"/>
      <c r="V13" s="16"/>
      <c r="W13" s="16"/>
    </row>
    <row r="14" spans="2:24" x14ac:dyDescent="0.2">
      <c r="O14" s="16"/>
      <c r="P14" s="16"/>
      <c r="Q14" s="16"/>
      <c r="R14" s="16"/>
      <c r="S14" s="16"/>
      <c r="T14" s="16"/>
      <c r="U14" s="16"/>
      <c r="V14" s="16"/>
      <c r="W14" s="16"/>
    </row>
    <row r="15" spans="2:24" x14ac:dyDescent="0.2">
      <c r="O15" s="16"/>
      <c r="P15" s="16"/>
      <c r="Q15" s="16"/>
      <c r="R15" s="16"/>
      <c r="S15" s="16"/>
      <c r="T15" s="16"/>
      <c r="U15" s="16"/>
      <c r="V15" s="16"/>
      <c r="W15" s="16"/>
    </row>
    <row r="17" spans="2:23" x14ac:dyDescent="0.2">
      <c r="D17" s="2" t="s">
        <v>0</v>
      </c>
      <c r="E17" s="2"/>
      <c r="F17" s="2"/>
      <c r="H17" s="2"/>
      <c r="I17" s="9"/>
      <c r="J17" s="9"/>
      <c r="K17" s="9"/>
      <c r="L17" s="9"/>
      <c r="M17" s="9"/>
      <c r="N17" s="58"/>
      <c r="O17" s="40" t="s">
        <v>17</v>
      </c>
      <c r="P17" s="40"/>
      <c r="Q17" s="16"/>
      <c r="R17" s="16"/>
      <c r="S17" s="16"/>
      <c r="T17" s="16"/>
      <c r="U17" s="16"/>
      <c r="V17" s="16"/>
      <c r="W17" s="16"/>
    </row>
    <row r="18" spans="2:23" ht="24" customHeight="1" x14ac:dyDescent="0.2">
      <c r="B18" s="5" t="s">
        <v>1</v>
      </c>
      <c r="C18" s="5" t="s">
        <v>3</v>
      </c>
      <c r="D18" s="5" t="s">
        <v>4</v>
      </c>
      <c r="E18" s="45" t="s">
        <v>55</v>
      </c>
      <c r="F18" s="46" t="s">
        <v>110</v>
      </c>
      <c r="G18" s="45" t="s">
        <v>16</v>
      </c>
      <c r="H18" s="45" t="s">
        <v>34</v>
      </c>
      <c r="I18" s="45" t="s">
        <v>47</v>
      </c>
      <c r="J18" s="45" t="s">
        <v>36</v>
      </c>
      <c r="K18" s="47" t="s">
        <v>5</v>
      </c>
      <c r="L18" s="47" t="s">
        <v>132</v>
      </c>
      <c r="M18" s="47"/>
      <c r="N18" s="87"/>
      <c r="O18" s="41" t="s">
        <v>15</v>
      </c>
      <c r="P18" s="42" t="s">
        <v>42</v>
      </c>
      <c r="Q18" s="41" t="s">
        <v>1</v>
      </c>
      <c r="R18" s="41" t="s">
        <v>2</v>
      </c>
      <c r="S18" s="41" t="s">
        <v>18</v>
      </c>
      <c r="T18" s="41" t="s">
        <v>19</v>
      </c>
      <c r="U18" s="41" t="s">
        <v>20</v>
      </c>
      <c r="V18" s="41" t="s">
        <v>21</v>
      </c>
      <c r="W18" s="41" t="s">
        <v>22</v>
      </c>
    </row>
    <row r="19" spans="2:23" ht="23.25" thickBot="1" x14ac:dyDescent="0.25">
      <c r="B19" s="48" t="s">
        <v>48</v>
      </c>
      <c r="C19" s="48" t="s">
        <v>32</v>
      </c>
      <c r="D19" s="48" t="s">
        <v>33</v>
      </c>
      <c r="E19" s="48" t="s">
        <v>54</v>
      </c>
      <c r="F19" s="48" t="s">
        <v>86</v>
      </c>
      <c r="G19" s="48" t="s">
        <v>35</v>
      </c>
      <c r="H19" s="49" t="s">
        <v>49</v>
      </c>
      <c r="I19" s="48" t="s">
        <v>57</v>
      </c>
      <c r="J19" s="48" t="s">
        <v>87</v>
      </c>
      <c r="K19" s="49" t="s">
        <v>37</v>
      </c>
      <c r="L19" s="49" t="s">
        <v>133</v>
      </c>
      <c r="M19" s="50"/>
      <c r="N19" s="88"/>
      <c r="O19" s="44" t="s">
        <v>50</v>
      </c>
      <c r="P19" s="44" t="s">
        <v>44</v>
      </c>
      <c r="Q19" s="44" t="s">
        <v>27</v>
      </c>
      <c r="R19" s="44" t="s">
        <v>28</v>
      </c>
      <c r="S19" s="44" t="s">
        <v>29</v>
      </c>
      <c r="T19" s="44" t="s">
        <v>30</v>
      </c>
      <c r="U19" s="44" t="s">
        <v>51</v>
      </c>
      <c r="V19" s="44" t="s">
        <v>52</v>
      </c>
      <c r="W19" s="44" t="s">
        <v>31</v>
      </c>
    </row>
    <row r="20" spans="2:23" ht="23.25" thickBot="1" x14ac:dyDescent="0.25">
      <c r="B20" s="51" t="s">
        <v>53</v>
      </c>
      <c r="C20" s="51"/>
      <c r="D20" s="51"/>
      <c r="E20" s="52"/>
      <c r="F20" s="52"/>
      <c r="G20" s="52"/>
      <c r="H20" s="53"/>
      <c r="I20" s="52" t="s">
        <v>54</v>
      </c>
      <c r="J20" s="52" t="s">
        <v>131</v>
      </c>
      <c r="K20" s="53"/>
      <c r="L20" s="54" t="s">
        <v>81</v>
      </c>
      <c r="M20" s="54"/>
      <c r="N20" s="89"/>
      <c r="O20" s="44" t="s">
        <v>82</v>
      </c>
      <c r="P20" s="44"/>
      <c r="Q20" s="44"/>
      <c r="R20" s="44"/>
      <c r="S20" s="44"/>
      <c r="T20" s="44"/>
      <c r="U20" s="44"/>
      <c r="V20" s="44"/>
      <c r="W20" s="44"/>
    </row>
    <row r="21" spans="2:23" x14ac:dyDescent="0.2">
      <c r="B21" s="9" t="str">
        <f>Q21</f>
        <v>Furnace</v>
      </c>
      <c r="C21" s="9" t="s">
        <v>69</v>
      </c>
      <c r="D21" s="56" t="s">
        <v>119</v>
      </c>
      <c r="E21" s="90">
        <v>2030</v>
      </c>
      <c r="F21" s="57"/>
      <c r="G21" s="58">
        <v>1</v>
      </c>
      <c r="H21" s="58">
        <v>1</v>
      </c>
      <c r="I21" s="58">
        <v>30</v>
      </c>
      <c r="J21" s="58">
        <v>333</v>
      </c>
      <c r="K21" s="58"/>
      <c r="L21" s="55"/>
      <c r="M21" s="55"/>
      <c r="O21" s="76" t="s">
        <v>121</v>
      </c>
      <c r="P21" s="75"/>
      <c r="Q21" s="73" t="s">
        <v>66</v>
      </c>
      <c r="R21" s="77" t="s">
        <v>118</v>
      </c>
      <c r="S21" s="9" t="s">
        <v>58</v>
      </c>
      <c r="T21" s="9" t="s">
        <v>88</v>
      </c>
      <c r="U21" s="59" t="s">
        <v>89</v>
      </c>
      <c r="V21" s="58"/>
      <c r="W21" s="58"/>
    </row>
    <row r="22" spans="2:23" x14ac:dyDescent="0.2">
      <c r="B22" s="9" t="str">
        <f>Q$22</f>
        <v>BIOBoiler</v>
      </c>
      <c r="C22" s="9" t="str">
        <f>PRI_Sector_Fuels!P5</f>
        <v>MANBIOMIN</v>
      </c>
      <c r="D22" s="56" t="s">
        <v>119</v>
      </c>
      <c r="E22" s="90">
        <v>2030</v>
      </c>
      <c r="F22" s="57"/>
      <c r="G22" s="58">
        <v>0.8</v>
      </c>
      <c r="H22" s="58">
        <v>1</v>
      </c>
      <c r="I22" s="58">
        <v>20</v>
      </c>
      <c r="J22" s="58">
        <v>222</v>
      </c>
      <c r="K22" s="58"/>
      <c r="L22" s="55"/>
      <c r="M22" s="55"/>
      <c r="O22" s="75" t="s">
        <v>121</v>
      </c>
      <c r="P22" s="75"/>
      <c r="Q22" s="74" t="s">
        <v>111</v>
      </c>
      <c r="R22" s="77" t="s">
        <v>102</v>
      </c>
      <c r="S22" s="9" t="s">
        <v>58</v>
      </c>
      <c r="T22" s="9" t="s">
        <v>88</v>
      </c>
      <c r="U22" s="58"/>
      <c r="V22" s="58"/>
      <c r="W22" s="58"/>
    </row>
    <row r="23" spans="2:23" x14ac:dyDescent="0.2">
      <c r="B23" s="9" t="str">
        <f>Q25</f>
        <v>ELCBoiler</v>
      </c>
      <c r="C23" s="9" t="s">
        <v>69</v>
      </c>
      <c r="D23" s="56" t="s">
        <v>119</v>
      </c>
      <c r="E23" s="90">
        <v>2030</v>
      </c>
      <c r="F23" s="57"/>
      <c r="G23" s="58">
        <v>0.8</v>
      </c>
      <c r="H23" s="58">
        <v>1</v>
      </c>
      <c r="I23" s="58">
        <v>20</v>
      </c>
      <c r="J23" s="58">
        <v>2121</v>
      </c>
      <c r="K23" s="58"/>
      <c r="L23" s="55"/>
      <c r="M23" s="55"/>
      <c r="O23" s="75" t="s">
        <v>121</v>
      </c>
      <c r="P23" s="75"/>
      <c r="Q23" s="74" t="s">
        <v>112</v>
      </c>
      <c r="R23" s="77" t="s">
        <v>117</v>
      </c>
      <c r="S23" s="9" t="s">
        <v>58</v>
      </c>
      <c r="T23" s="9" t="s">
        <v>88</v>
      </c>
      <c r="U23" s="58"/>
      <c r="V23" s="58"/>
      <c r="W23" s="58"/>
    </row>
    <row r="24" spans="2:23" s="58" customFormat="1" x14ac:dyDescent="0.2">
      <c r="B24" s="9" t="str">
        <f>Q23</f>
        <v>BIOKiln</v>
      </c>
      <c r="C24" s="9" t="str">
        <f>PRI_Sector_Fuels!P5</f>
        <v>MANBIOMIN</v>
      </c>
      <c r="D24" s="56" t="s">
        <v>119</v>
      </c>
      <c r="E24" s="90">
        <v>2030</v>
      </c>
      <c r="F24" s="57"/>
      <c r="G24" s="58">
        <v>0.55000000000000004</v>
      </c>
      <c r="H24" s="58">
        <v>1</v>
      </c>
      <c r="I24" s="58">
        <v>20</v>
      </c>
      <c r="J24" s="58">
        <v>444</v>
      </c>
      <c r="O24" s="75" t="s">
        <v>121</v>
      </c>
      <c r="P24" s="75"/>
      <c r="Q24" s="74" t="s">
        <v>113</v>
      </c>
      <c r="R24" s="77" t="s">
        <v>114</v>
      </c>
      <c r="S24" s="9" t="s">
        <v>58</v>
      </c>
      <c r="T24" s="9" t="s">
        <v>88</v>
      </c>
    </row>
    <row r="25" spans="2:23" s="58" customFormat="1" x14ac:dyDescent="0.2">
      <c r="B25" s="56" t="str">
        <f>Q24</f>
        <v>GASBoiler</v>
      </c>
      <c r="C25" s="9" t="str">
        <f>PRI_Sector_Fuels!P6</f>
        <v>MANGASMIN</v>
      </c>
      <c r="D25" s="56" t="s">
        <v>119</v>
      </c>
      <c r="E25" s="90">
        <v>2030</v>
      </c>
      <c r="F25" s="57"/>
      <c r="G25" s="58">
        <v>1</v>
      </c>
      <c r="H25" s="58">
        <v>1</v>
      </c>
      <c r="I25" s="58">
        <v>25</v>
      </c>
      <c r="J25" s="58">
        <v>2145</v>
      </c>
      <c r="O25" s="75" t="s">
        <v>121</v>
      </c>
      <c r="P25" s="75"/>
      <c r="Q25" s="74" t="s">
        <v>115</v>
      </c>
      <c r="R25" s="77" t="s">
        <v>116</v>
      </c>
      <c r="S25" s="9" t="s">
        <v>58</v>
      </c>
      <c r="T25" s="9" t="s">
        <v>88</v>
      </c>
    </row>
    <row r="26" spans="2:23" s="58" customFormat="1" x14ac:dyDescent="0.2">
      <c r="B26" s="56" t="str">
        <f>Q27</f>
        <v>WNDTRBN</v>
      </c>
      <c r="C26" s="9"/>
      <c r="D26" s="56" t="s">
        <v>69</v>
      </c>
      <c r="E26" s="90">
        <v>2030</v>
      </c>
      <c r="F26" s="57"/>
      <c r="G26" s="58">
        <v>1</v>
      </c>
      <c r="H26" s="58">
        <v>1</v>
      </c>
      <c r="I26" s="58">
        <v>25</v>
      </c>
      <c r="J26" s="58">
        <v>1041</v>
      </c>
      <c r="O26" s="75" t="s">
        <v>121</v>
      </c>
      <c r="P26" s="75"/>
      <c r="Q26" s="74" t="s">
        <v>65</v>
      </c>
      <c r="R26" s="77" t="s">
        <v>120</v>
      </c>
      <c r="S26" s="9" t="s">
        <v>58</v>
      </c>
      <c r="T26" s="9" t="s">
        <v>88</v>
      </c>
      <c r="U26" s="58" t="s">
        <v>89</v>
      </c>
    </row>
    <row r="27" spans="2:23" s="58" customFormat="1" x14ac:dyDescent="0.2">
      <c r="B27" s="56" t="str">
        <f>Q28</f>
        <v>SOLPV</v>
      </c>
      <c r="C27" s="9"/>
      <c r="D27" s="56" t="s">
        <v>69</v>
      </c>
      <c r="E27" s="90">
        <v>2030</v>
      </c>
      <c r="F27" s="57"/>
      <c r="G27" s="58">
        <v>1</v>
      </c>
      <c r="H27" s="58">
        <v>1</v>
      </c>
      <c r="I27" s="58">
        <v>25</v>
      </c>
      <c r="J27" s="58">
        <v>691</v>
      </c>
      <c r="O27" s="75" t="s">
        <v>69</v>
      </c>
      <c r="P27" s="75"/>
      <c r="Q27" s="74" t="s">
        <v>94</v>
      </c>
      <c r="R27" s="77" t="s">
        <v>97</v>
      </c>
      <c r="S27" s="9" t="s">
        <v>58</v>
      </c>
      <c r="T27" s="9"/>
      <c r="U27" s="58" t="s">
        <v>89</v>
      </c>
    </row>
    <row r="28" spans="2:23" s="58" customFormat="1" x14ac:dyDescent="0.2">
      <c r="B28" s="56" t="str">
        <f>Q26</f>
        <v>CSP</v>
      </c>
      <c r="C28" s="9"/>
      <c r="D28" s="56" t="s">
        <v>119</v>
      </c>
      <c r="E28" s="90">
        <v>2030</v>
      </c>
      <c r="F28" s="57"/>
      <c r="G28" s="58">
        <v>1</v>
      </c>
      <c r="H28" s="58">
        <v>1</v>
      </c>
      <c r="I28" s="58">
        <v>25</v>
      </c>
      <c r="J28" s="58">
        <v>36377</v>
      </c>
      <c r="O28" s="75" t="s">
        <v>69</v>
      </c>
      <c r="P28" s="75"/>
      <c r="Q28" s="74" t="s">
        <v>95</v>
      </c>
      <c r="R28" s="77" t="s">
        <v>96</v>
      </c>
      <c r="S28" s="9" t="s">
        <v>58</v>
      </c>
      <c r="T28" s="9"/>
      <c r="U28" s="58" t="s">
        <v>89</v>
      </c>
    </row>
    <row r="29" spans="2:23" s="58" customFormat="1" x14ac:dyDescent="0.2">
      <c r="B29" s="56"/>
      <c r="C29" s="9"/>
      <c r="D29" s="56"/>
      <c r="E29" s="17"/>
      <c r="F29" s="57"/>
      <c r="O29" s="69"/>
      <c r="P29" s="69"/>
      <c r="Q29" s="99"/>
      <c r="R29" s="100"/>
    </row>
    <row r="30" spans="2:23" s="58" customFormat="1" x14ac:dyDescent="0.2">
      <c r="B30" s="56"/>
      <c r="C30" s="9"/>
      <c r="D30" s="56"/>
      <c r="E30" s="17"/>
      <c r="F30" s="57"/>
      <c r="O30" s="69"/>
      <c r="P30" s="69"/>
      <c r="Q30" s="99"/>
      <c r="R30" s="100"/>
    </row>
    <row r="31" spans="2:23" s="58" customFormat="1" x14ac:dyDescent="0.2">
      <c r="B31" s="56"/>
      <c r="C31" s="9"/>
      <c r="D31" s="56"/>
      <c r="E31" s="17"/>
      <c r="F31" s="57"/>
      <c r="O31" s="69"/>
      <c r="P31" s="69"/>
      <c r="Q31" s="99"/>
      <c r="R31" s="100"/>
    </row>
    <row r="32" spans="2:23" s="58" customFormat="1" x14ac:dyDescent="0.2">
      <c r="B32" s="56"/>
      <c r="C32" s="9"/>
      <c r="D32" s="56"/>
      <c r="E32" s="17"/>
      <c r="F32" s="57"/>
      <c r="O32" s="69"/>
      <c r="P32" s="69"/>
      <c r="Q32" s="99"/>
      <c r="R32" s="100"/>
    </row>
    <row r="33" spans="2:23" s="58" customFormat="1" x14ac:dyDescent="0.2">
      <c r="B33" s="8" t="s">
        <v>124</v>
      </c>
      <c r="C33" s="16" t="str">
        <f>Q8</f>
        <v>ELCHEAT</v>
      </c>
      <c r="D33" s="56" t="s">
        <v>119</v>
      </c>
      <c r="E33" s="17">
        <v>2030</v>
      </c>
      <c r="F33" s="57"/>
      <c r="G33" s="58">
        <v>1</v>
      </c>
      <c r="H33" s="58">
        <v>1</v>
      </c>
      <c r="I33" s="58">
        <v>50</v>
      </c>
      <c r="J33" s="58">
        <v>0</v>
      </c>
      <c r="K33" s="8"/>
      <c r="O33" s="8"/>
      <c r="P33" s="8"/>
      <c r="Q33" s="8"/>
      <c r="R33" s="8"/>
      <c r="S33" s="8"/>
      <c r="T33" s="8"/>
      <c r="U33" s="8"/>
      <c r="V33" s="8"/>
      <c r="W33" s="8"/>
    </row>
    <row r="34" spans="2:23" s="58" customFormat="1" x14ac:dyDescent="0.2">
      <c r="B34" s="8" t="s">
        <v>124</v>
      </c>
      <c r="C34" s="16" t="str">
        <f>Q9</f>
        <v>BIOHEAT</v>
      </c>
      <c r="D34" s="56" t="s">
        <v>119</v>
      </c>
      <c r="E34" s="17">
        <v>2030</v>
      </c>
      <c r="F34" s="57"/>
      <c r="G34" s="58">
        <v>1</v>
      </c>
      <c r="H34" s="58">
        <v>1</v>
      </c>
      <c r="I34" s="58">
        <v>50</v>
      </c>
      <c r="J34" s="58">
        <v>0</v>
      </c>
      <c r="K34" s="8"/>
      <c r="O34" s="21" t="s">
        <v>69</v>
      </c>
      <c r="P34" s="21"/>
      <c r="Q34" s="19" t="s">
        <v>94</v>
      </c>
      <c r="R34" s="37" t="s">
        <v>97</v>
      </c>
      <c r="S34" s="21" t="s">
        <v>58</v>
      </c>
      <c r="T34" s="21"/>
      <c r="U34" s="21" t="s">
        <v>89</v>
      </c>
      <c r="V34" s="8"/>
      <c r="W34" s="8"/>
    </row>
    <row r="35" spans="2:23" s="58" customFormat="1" x14ac:dyDescent="0.2">
      <c r="B35" s="8" t="s">
        <v>124</v>
      </c>
      <c r="C35" s="16" t="str">
        <f>Q10</f>
        <v>GASHEAT</v>
      </c>
      <c r="D35" s="56" t="s">
        <v>119</v>
      </c>
      <c r="E35" s="17">
        <v>2030</v>
      </c>
      <c r="F35" s="57"/>
      <c r="G35" s="58">
        <v>1</v>
      </c>
      <c r="H35" s="58">
        <v>1</v>
      </c>
      <c r="I35" s="58">
        <v>50</v>
      </c>
      <c r="J35" s="58">
        <v>0</v>
      </c>
      <c r="K35" s="8"/>
      <c r="O35" s="21" t="s">
        <v>69</v>
      </c>
      <c r="P35" s="21"/>
      <c r="Q35" s="19" t="s">
        <v>95</v>
      </c>
      <c r="R35" s="37" t="s">
        <v>96</v>
      </c>
      <c r="S35" s="21" t="s">
        <v>58</v>
      </c>
      <c r="T35" s="21"/>
      <c r="U35" s="21" t="s">
        <v>89</v>
      </c>
      <c r="V35" s="8"/>
      <c r="W35" s="8"/>
    </row>
    <row r="36" spans="2:23" s="58" customFormat="1" x14ac:dyDescent="0.2">
      <c r="B36" s="8" t="s">
        <v>124</v>
      </c>
      <c r="C36" s="16" t="str">
        <f>Q11</f>
        <v>SOLHEAT</v>
      </c>
      <c r="D36" s="56" t="s">
        <v>119</v>
      </c>
      <c r="E36" s="17">
        <v>2030</v>
      </c>
      <c r="F36" s="57"/>
      <c r="G36" s="58">
        <v>1</v>
      </c>
      <c r="K36" s="8"/>
      <c r="O36" s="8"/>
      <c r="P36" s="8"/>
      <c r="Q36" s="8"/>
      <c r="R36" s="8"/>
      <c r="S36" s="8"/>
      <c r="T36" s="8"/>
      <c r="U36" s="8"/>
      <c r="V36" s="8"/>
      <c r="W36" s="8"/>
    </row>
    <row r="37" spans="2:23" s="58" customFormat="1" x14ac:dyDescent="0.2">
      <c r="B37" s="16" t="str">
        <f>Q34</f>
        <v>WNDTRBN</v>
      </c>
      <c r="C37" s="16"/>
      <c r="D37" s="56" t="s">
        <v>69</v>
      </c>
      <c r="E37" s="17">
        <v>2030</v>
      </c>
      <c r="F37" s="57"/>
      <c r="G37" s="58">
        <v>1</v>
      </c>
      <c r="H37" s="58">
        <v>0.97</v>
      </c>
      <c r="I37" s="58">
        <v>25</v>
      </c>
      <c r="J37" s="85">
        <v>1041</v>
      </c>
      <c r="K37" s="8">
        <v>38</v>
      </c>
      <c r="O37" s="8"/>
      <c r="P37" s="8"/>
      <c r="Q37" s="8"/>
      <c r="R37" s="8"/>
      <c r="S37" s="8"/>
      <c r="T37" s="8"/>
      <c r="U37" s="8"/>
      <c r="V37" s="8"/>
      <c r="W37" s="8"/>
    </row>
    <row r="38" spans="2:23" s="58" customFormat="1" x14ac:dyDescent="0.2">
      <c r="B38" s="16" t="str">
        <f>Q35</f>
        <v>SOLPV</v>
      </c>
      <c r="C38" s="8"/>
      <c r="D38" s="56" t="s">
        <v>69</v>
      </c>
      <c r="E38" s="17">
        <v>2030</v>
      </c>
      <c r="F38" s="61"/>
      <c r="G38" s="8">
        <v>1</v>
      </c>
      <c r="H38" s="8">
        <v>0.99</v>
      </c>
      <c r="I38" s="8">
        <v>25</v>
      </c>
      <c r="J38" s="86">
        <v>691</v>
      </c>
      <c r="K38" s="8">
        <v>1125</v>
      </c>
      <c r="O38" s="8"/>
      <c r="P38" s="8"/>
      <c r="Q38" s="8"/>
      <c r="R38" s="8"/>
      <c r="S38" s="8"/>
      <c r="T38" s="8"/>
      <c r="U38" s="8"/>
      <c r="V38" s="8"/>
      <c r="W38" s="8"/>
    </row>
    <row r="39" spans="2:23" s="60" customFormat="1" x14ac:dyDescent="0.2">
      <c r="B39" s="8" t="s">
        <v>65</v>
      </c>
      <c r="C39" s="8"/>
      <c r="D39" s="8" t="str">
        <f>Q11</f>
        <v>SOLHEAT</v>
      </c>
      <c r="E39" s="17">
        <v>2030</v>
      </c>
      <c r="F39" s="61"/>
      <c r="G39" s="8">
        <v>1</v>
      </c>
      <c r="H39" s="8">
        <v>1</v>
      </c>
      <c r="I39" s="8">
        <v>25</v>
      </c>
      <c r="J39" s="86">
        <v>36377</v>
      </c>
      <c r="K39" s="8">
        <v>0</v>
      </c>
      <c r="L39" s="60">
        <v>14</v>
      </c>
      <c r="O39" s="8"/>
      <c r="P39" s="8"/>
      <c r="Q39" s="8"/>
      <c r="R39" s="8"/>
      <c r="S39" s="16"/>
      <c r="T39" s="16"/>
      <c r="U39" s="66"/>
      <c r="V39" s="8"/>
      <c r="W39" s="8"/>
    </row>
    <row r="40" spans="2:23" x14ac:dyDescent="0.2">
      <c r="F40" s="61"/>
      <c r="G40" s="10"/>
      <c r="H40" s="63"/>
      <c r="P40" s="60"/>
      <c r="R40" s="60"/>
      <c r="S40" s="62"/>
      <c r="T40" s="62"/>
    </row>
    <row r="41" spans="2:23" x14ac:dyDescent="0.2">
      <c r="H41" s="63"/>
    </row>
    <row r="42" spans="2:23" x14ac:dyDescent="0.2">
      <c r="B42" s="55"/>
      <c r="C42" s="8" t="s">
        <v>83</v>
      </c>
      <c r="H42" s="63"/>
    </row>
    <row r="43" spans="2:23" x14ac:dyDescent="0.2">
      <c r="B43" s="64"/>
      <c r="C43" s="8" t="s">
        <v>84</v>
      </c>
      <c r="H43" s="63"/>
    </row>
    <row r="44" spans="2:23" x14ac:dyDescent="0.2">
      <c r="E44" s="8" t="s">
        <v>90</v>
      </c>
      <c r="F44" s="8" t="s">
        <v>91</v>
      </c>
      <c r="H44" s="63"/>
    </row>
    <row r="46" spans="2:23" x14ac:dyDescent="0.2">
      <c r="E46" s="8" t="s">
        <v>92</v>
      </c>
      <c r="F46" s="8">
        <f>24*365</f>
        <v>8760</v>
      </c>
    </row>
    <row r="47" spans="2:23" x14ac:dyDescent="0.2">
      <c r="E47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2025-11-10T18:57:57Z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