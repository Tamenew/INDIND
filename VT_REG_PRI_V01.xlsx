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CCEF7188-0D48-4895-93BF-AE448DEAEA30}" xr6:coauthVersionLast="47" xr6:coauthVersionMax="47" xr10:uidLastSave="{00000000-0000-0000-0000-000000000000}"/>
  <bookViews>
    <workbookView xWindow="-23148" yWindow="-108" windowWidth="23256" windowHeight="12456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37" l="1"/>
  <c r="H28" i="137"/>
  <c r="E19" i="143"/>
  <c r="E18" i="143"/>
  <c r="E17" i="143"/>
  <c r="E16" i="143"/>
  <c r="D21" i="143"/>
  <c r="D20" i="143"/>
  <c r="D16" i="143"/>
  <c r="F22" i="145"/>
  <c r="G22" i="145"/>
  <c r="H22" i="145"/>
  <c r="I22" i="145"/>
  <c r="J22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E12" i="145"/>
  <c r="E14" i="145"/>
  <c r="E9" i="145"/>
  <c r="M9" i="145"/>
  <c r="F9" i="145"/>
  <c r="G9" i="145"/>
  <c r="H9" i="145"/>
  <c r="I9" i="145"/>
  <c r="J9" i="145"/>
  <c r="K9" i="145"/>
  <c r="E13" i="145"/>
  <c r="E10" i="145"/>
  <c r="M10" i="145"/>
  <c r="F10" i="145"/>
  <c r="G10" i="145"/>
  <c r="H10" i="145"/>
  <c r="I10" i="145"/>
  <c r="J10" i="145"/>
  <c r="K10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G27" i="143"/>
  <c r="D5" i="133"/>
  <c r="I23" i="137"/>
  <c r="D6" i="133"/>
  <c r="I24" i="137"/>
  <c r="G28" i="143"/>
  <c r="H27" i="143"/>
  <c r="F21" i="143"/>
  <c r="H28" i="143"/>
  <c r="F20" i="143"/>
  <c r="J18" i="133"/>
  <c r="I26" i="137"/>
  <c r="G29" i="143"/>
  <c r="H29" i="143"/>
  <c r="D18" i="143"/>
  <c r="C21" i="143"/>
  <c r="B21" i="143"/>
  <c r="C20" i="143"/>
  <c r="B20" i="143"/>
  <c r="B19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17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C19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5" i="143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D13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17" i="143"/>
  <c r="B16" i="143"/>
  <c r="C17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6" i="143"/>
  <c r="P35" i="145"/>
  <c r="P51" i="145"/>
  <c r="P16" i="145"/>
  <c r="P19" i="145"/>
  <c r="P37" i="145"/>
  <c r="P18" i="145"/>
  <c r="P38" i="145"/>
  <c r="P54" i="145"/>
  <c r="P21" i="145"/>
  <c r="P55" i="145"/>
  <c r="P44" i="145"/>
  <c r="P29" i="145"/>
  <c r="P46" i="145"/>
  <c r="P31" i="145"/>
  <c r="P48" i="145"/>
  <c r="P33" i="145"/>
  <c r="P34" i="145"/>
  <c r="P36" i="145"/>
  <c r="P52" i="145"/>
  <c r="P17" i="145"/>
  <c r="P53" i="145"/>
  <c r="P20" i="145"/>
  <c r="P13" i="145"/>
  <c r="P39" i="145"/>
  <c r="P60" i="145"/>
  <c r="P61" i="145"/>
  <c r="P62" i="145"/>
  <c r="P47" i="145"/>
  <c r="P64" i="145"/>
  <c r="P65" i="145"/>
  <c r="P66" i="145"/>
  <c r="P22" i="145"/>
  <c r="P40" i="145"/>
  <c r="P56" i="145"/>
  <c r="P23" i="145"/>
  <c r="P41" i="145"/>
  <c r="P57" i="145"/>
  <c r="P26" i="145"/>
  <c r="P42" i="145"/>
  <c r="P58" i="145"/>
  <c r="P27" i="145"/>
  <c r="P43" i="145"/>
  <c r="P59" i="145"/>
  <c r="P28" i="145"/>
  <c r="P45" i="145"/>
  <c r="P30" i="145"/>
  <c r="P63" i="145"/>
  <c r="P32" i="145"/>
  <c r="P49" i="145"/>
  <c r="P50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<sst xmlns="http://schemas.openxmlformats.org/spreadsheetml/2006/main" count="891" uniqueCount="467">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</sst>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" fontId="23" fillId="3" borderId="0" xfId="31" applyNumberFormat="1" applyFont="1" applyBorder="1" applyAlignment="1">
      <alignment horizontal="left" wrapText="1"/>
    </xf>
    <xf numFmtId="9" fontId="28" fillId="14" borderId="0" xfId="0" applyNumberFormat="1" applyFont="1" applyFill="1" applyAlignment="1">
      <alignment wrapText="1"/>
    </xf>
    <xf numFmtId="166" fontId="30" fillId="0" borderId="0" xfId="9" applyNumberFormat="1" applyFont="1"/>
    <xf numFmtId="0" fontId="30" fillId="17" borderId="0" xfId="9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6" t="s">
        <v>142</v>
      </c>
      <c r="B2" s="287"/>
      <c r="C2" s="287"/>
      <c r="D2" s="287"/>
      <c r="E2" s="288"/>
      <c r="F2" s="286" t="s">
        <v>258</v>
      </c>
      <c r="G2" s="287"/>
      <c r="H2" s="287"/>
      <c r="I2" s="288"/>
      <c r="J2" s="292" t="s">
        <v>259</v>
      </c>
      <c r="K2" s="293"/>
      <c r="L2" s="293"/>
      <c r="M2" s="294"/>
      <c r="N2" s="286" t="s">
        <v>260</v>
      </c>
      <c r="O2" s="287"/>
      <c r="P2" s="287"/>
      <c r="Q2" s="287"/>
      <c r="R2" s="288"/>
      <c r="V2" s="179" t="s">
        <v>142</v>
      </c>
      <c r="W2" s="283" t="s">
        <v>261</v>
      </c>
      <c r="X2" s="284"/>
      <c r="Y2" s="284"/>
      <c r="Z2" s="284"/>
      <c r="AA2" s="285"/>
      <c r="AB2" s="283" t="s">
        <v>262</v>
      </c>
      <c r="AC2" s="284"/>
      <c r="AD2" s="284"/>
      <c r="AE2" s="284"/>
      <c r="AF2" s="285"/>
    </row>
    <row r="3" spans="1:32" ht="24.6" customHeight="1" thickBot="1" x14ac:dyDescent="0.3">
      <c r="A3" s="286" t="s">
        <v>263</v>
      </c>
      <c r="B3" s="287"/>
      <c r="C3" s="287"/>
      <c r="D3" s="287"/>
      <c r="E3" s="288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9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90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90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90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90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90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90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91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9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90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90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90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90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90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90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91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7" t="s">
        <v>352</v>
      </c>
      <c r="D1" s="297"/>
      <c r="E1" s="297"/>
      <c r="F1" s="297"/>
      <c r="G1" s="297" t="s">
        <v>353</v>
      </c>
      <c r="H1" s="297"/>
      <c r="I1" s="297"/>
      <c r="J1" s="297"/>
      <c r="K1" s="297" t="s">
        <v>354</v>
      </c>
      <c r="L1" s="297"/>
      <c r="M1" s="297" t="s">
        <v>355</v>
      </c>
      <c r="N1" s="297"/>
      <c r="O1" s="297" t="s">
        <v>356</v>
      </c>
      <c r="P1" s="297"/>
      <c r="Q1" s="297"/>
      <c r="R1" s="297" t="s">
        <v>356</v>
      </c>
      <c r="S1" s="297"/>
      <c r="T1" s="297"/>
      <c r="U1" s="297" t="s">
        <v>356</v>
      </c>
      <c r="V1" s="297"/>
      <c r="W1" s="297"/>
      <c r="X1" s="20" t="s">
        <v>357</v>
      </c>
      <c r="Y1" s="297" t="s">
        <v>358</v>
      </c>
      <c r="Z1" s="297"/>
      <c r="AA1" s="297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7" t="s">
        <v>360</v>
      </c>
      <c r="P2" s="297"/>
      <c r="Q2" s="297"/>
      <c r="R2" s="297" t="s">
        <v>363</v>
      </c>
      <c r="S2" s="297"/>
      <c r="T2" s="297"/>
      <c r="U2" s="297" t="s">
        <v>362</v>
      </c>
      <c r="V2" s="297"/>
      <c r="W2" s="297"/>
      <c r="X2" s="20" t="s">
        <v>112</v>
      </c>
      <c r="Y2" s="297" t="s">
        <v>364</v>
      </c>
      <c r="Z2" s="297"/>
      <c r="AA2" s="297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5" t="str">
        <f t="shared" si="1"/>
        <v>Installation Cost per kW</v>
      </c>
      <c r="D17" s="295"/>
      <c r="E17" s="295"/>
      <c r="F17" s="295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6" t="s">
        <v>414</v>
      </c>
      <c r="D42" s="296"/>
      <c r="E42" s="296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8" si="5">1/(G$51-E$51)</f>
        <v>0.5</v>
      </c>
      <c r="K53" s="263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60"/>
      <c r="E65" s="260"/>
      <c r="F65" s="260"/>
      <c r="G65" s="260"/>
      <c r="H65" s="260"/>
      <c r="I65" s="253"/>
      <c r="J65" s="253"/>
      <c r="K65" s="263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3"/>
      <c r="J66" s="253"/>
      <c r="K66" s="263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350</v>
      </c>
    </row>
    <row r="67" spans="2:16" x14ac:dyDescent="0.2">
      <c r="C67" t="s">
        <v>461</v>
      </c>
      <c r="D67" s="260">
        <f>D62+D64</f>
        <v>4472.8749166666666</v>
      </c>
      <c r="E67" s="260">
        <f t="shared" ref="E67:H67" si="17">E62+E64</f>
        <v>4163.2797500000006</v>
      </c>
      <c r="F67" s="260">
        <f t="shared" si="17"/>
        <v>4697.9355277777777</v>
      </c>
      <c r="G67" s="260">
        <f t="shared" si="17"/>
        <v>6305.9296111111116</v>
      </c>
      <c r="H67" s="260">
        <f t="shared" si="17"/>
        <v>6716.6440000000002</v>
      </c>
      <c r="I67" s="253">
        <f t="shared" ref="I67:I68" si="18">H67/G67</f>
        <v>1.0651314578845292</v>
      </c>
      <c r="J67" s="253">
        <f t="shared" si="5"/>
        <v>0.5</v>
      </c>
      <c r="K67" s="263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167</v>
      </c>
      <c r="D68" s="260">
        <f>D63</f>
        <v>2791.0050000000001</v>
      </c>
      <c r="E68" s="260">
        <f t="shared" ref="E68:H68" si="21">E63</f>
        <v>2430.2799722222217</v>
      </c>
      <c r="F68" s="260">
        <f t="shared" si="21"/>
        <v>2683.0269444444443</v>
      </c>
      <c r="G68" s="260">
        <f t="shared" si="21"/>
        <v>2861.5609722222221</v>
      </c>
      <c r="H68" s="260">
        <f t="shared" si="21"/>
        <v>3440.232361111111</v>
      </c>
      <c r="I68" s="253">
        <f t="shared" si="18"/>
        <v>1.2022222816519286</v>
      </c>
      <c r="J68" s="253">
        <f t="shared" si="5"/>
        <v>0.5</v>
      </c>
      <c r="K68" s="263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145</v>
      </c>
      <c r="D72" s="81" t="s">
        <v>146</v>
      </c>
      <c r="E72" s="82" t="s">
        <v>147</v>
      </c>
    </row>
    <row r="73" spans="2:16" x14ac:dyDescent="0.2">
      <c r="B73" s="12" t="s">
        <v>144</v>
      </c>
      <c r="C73" s="83" t="s">
        <v>148</v>
      </c>
      <c r="D73" s="83" t="s">
        <v>149</v>
      </c>
      <c r="E73" s="84" t="s">
        <v>147</v>
      </c>
    </row>
    <row r="74" spans="2:16" x14ac:dyDescent="0.2">
      <c r="B74" s="29" t="s">
        <v>131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M9" sqref="M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7"/>
      <c r="N9" s="157"/>
      <c r="O9" s="157"/>
      <c r="P9" s="157"/>
      <c r="Q9" s="157"/>
      <c r="R9" s="66"/>
      <c r="S9" s="66"/>
      <c r="T9" s="66"/>
      <c r="U9" s="66"/>
    </row>
    <row r="10" spans="2:21" x14ac:dyDescent="0.2">
      <c r="M10" s="157"/>
      <c r="N10" s="157"/>
      <c r="O10" s="157"/>
      <c r="P10" s="157"/>
      <c r="Q10" s="157"/>
      <c r="R10" s="66"/>
      <c r="S10" s="66"/>
      <c r="T10" s="66"/>
      <c r="U10" s="66"/>
    </row>
    <row r="11" spans="2:21" x14ac:dyDescent="0.2">
      <c r="M11" s="157"/>
      <c r="N11" s="157"/>
      <c r="O11" s="157"/>
      <c r="P11" s="157"/>
      <c r="Q11" s="157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>
        <f>I23+I24</f>
        <v>7676.0620029738002</v>
      </c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>
        <f>H28*J26</f>
        <v>67242.303146050486</v>
      </c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topLeftCell="A9" zoomScale="118" zoomScaleNormal="118" workbookViewId="0">
      <selection activeCell="K25" sqref="K25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451</v>
      </c>
      <c r="Q5" s="160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452</v>
      </c>
      <c r="Q8" s="160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81" t="s">
        <v>82</v>
      </c>
      <c r="O9" s="281"/>
      <c r="P9" s="281" t="s">
        <v>461</v>
      </c>
      <c r="Q9" s="281" t="s">
        <v>462</v>
      </c>
      <c r="R9" s="267" t="s">
        <v>162</v>
      </c>
      <c r="S9" s="93"/>
      <c r="T9" s="93"/>
      <c r="U9" s="93"/>
      <c r="V9" s="93"/>
    </row>
    <row r="10" spans="2:22" x14ac:dyDescent="0.2">
      <c r="N10" s="267" t="s">
        <v>74</v>
      </c>
      <c r="O10" s="93"/>
      <c r="P10" s="267" t="s">
        <v>464</v>
      </c>
      <c r="Q10" s="267" t="s">
        <v>466</v>
      </c>
      <c r="R10" s="267" t="s">
        <v>162</v>
      </c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PRI_Sector_Fuels!I23/(8.76*G16)</f>
        <v>937.81659640348687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163" t="s">
        <v>465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PRI_Sector_Fuels!I24/(8.76*G17)</f>
        <v>655.38846855579072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163" t="s">
        <v>465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>P$5</f>
        <v>MANHEATOIL</v>
      </c>
      <c r="E18" s="109">
        <f>PRI_Sector_Fuels!I25/(8.76*G18)</f>
        <v>371.73518955616441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PRI_Sector_Fuels!I26/(8.76*G19)+0.2*PRI_Sector_Fuels!I26/8.76</f>
        <v>391.99468508864379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465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/>
      <c r="F20" s="162">
        <f>H28</f>
        <v>0.74661277712545626</v>
      </c>
      <c r="G20" s="159">
        <v>1</v>
      </c>
      <c r="H20" s="159">
        <v>1</v>
      </c>
      <c r="I20" s="159">
        <v>1</v>
      </c>
      <c r="J20" s="159">
        <v>9999</v>
      </c>
      <c r="K20" s="159">
        <v>0</v>
      </c>
      <c r="R20" s="97"/>
      <c r="S20" s="97"/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/>
      <c r="F21" s="162">
        <f>H27</f>
        <v>0.25338722287454379</v>
      </c>
      <c r="G21" s="159">
        <v>1</v>
      </c>
      <c r="H21" s="159">
        <v>1</v>
      </c>
      <c r="I21" s="159">
        <v>1</v>
      </c>
      <c r="J21" s="159">
        <v>9999</v>
      </c>
      <c r="K21" s="159">
        <v>0</v>
      </c>
      <c r="R21" s="97"/>
      <c r="S21" s="97"/>
    </row>
    <row r="22" spans="2:22" s="159" customFormat="1" x14ac:dyDescent="0.2">
      <c r="B22" s="97"/>
      <c r="C22" s="160"/>
      <c r="D22" s="93"/>
      <c r="E22" s="161"/>
      <c r="F22" s="162"/>
      <c r="N22" s="282"/>
      <c r="O22" s="282"/>
      <c r="P22" s="282"/>
      <c r="Q22" s="282"/>
      <c r="R22" s="97"/>
      <c r="S22" s="97"/>
    </row>
    <row r="23" spans="2:22" s="159" customFormat="1" x14ac:dyDescent="0.2">
      <c r="B23" s="97"/>
      <c r="C23" s="160"/>
      <c r="D23" s="93"/>
      <c r="E23" s="161"/>
      <c r="F23" s="162"/>
      <c r="S23" s="97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>
        <v>2022</v>
      </c>
      <c r="H26" s="159">
        <v>2022</v>
      </c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2605.1202084096003</v>
      </c>
      <c r="H27" s="278">
        <f>G27/(G27+G28)</f>
        <v>0.25338722287454379</v>
      </c>
      <c r="R27" s="93"/>
      <c r="S27" s="93"/>
      <c r="T27" s="171"/>
    </row>
    <row r="28" spans="2:22" x14ac:dyDescent="0.2">
      <c r="E28" s="163" t="s">
        <v>452</v>
      </c>
      <c r="F28" s="110"/>
      <c r="G28" s="91">
        <f>G16*E16*8.76+G17*E17*8.76</f>
        <v>7676.0620029737993</v>
      </c>
      <c r="H28" s="278">
        <f>G28/(G27+G28)</f>
        <v>0.74661277712545626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3433.8734413765196</v>
      </c>
      <c r="H29" s="111">
        <f>G29/G29</f>
        <v>1</v>
      </c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7"/>
  <sheetViews>
    <sheetView topLeftCell="A3" zoomScale="226" zoomScaleNormal="226" workbookViewId="0">
      <selection activeCell="E10" sqref="E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x14ac:dyDescent="0.2">
      <c r="B9" s="148" t="s">
        <v>181</v>
      </c>
      <c r="C9" s="148" t="s">
        <v>461</v>
      </c>
      <c r="D9" s="148" t="s">
        <v>162</v>
      </c>
      <c r="E9" s="279">
        <f>E12+E14</f>
        <v>6305.9296111111116</v>
      </c>
      <c r="F9" s="279">
        <f>E9*(1+$M$9)^(F6-E6)</f>
        <v>10324.27290099391</v>
      </c>
      <c r="G9" s="279">
        <f t="shared" ref="G9:K9" si="0">F9*(1+$M$9)^(G6-F6)</f>
        <v>23480.647603852085</v>
      </c>
      <c r="H9" s="279">
        <f t="shared" si="0"/>
        <v>53402.38651026044</v>
      </c>
      <c r="I9" s="279">
        <f t="shared" si="0"/>
        <v>121453.84288819171</v>
      </c>
      <c r="J9" s="279">
        <f t="shared" si="0"/>
        <v>276224.28352477046</v>
      </c>
      <c r="K9" s="279">
        <f t="shared" si="0"/>
        <v>628221.00144672324</v>
      </c>
      <c r="L9" s="148"/>
      <c r="M9" s="280">
        <f>EBF!P67</f>
        <v>0.178609993014374</v>
      </c>
      <c r="N9" s="126"/>
      <c r="O9" s="128"/>
      <c r="P9" s="128"/>
      <c r="Q9" s="128"/>
      <c r="R9" s="128"/>
    </row>
    <row r="10" spans="2:18" x14ac:dyDescent="0.2">
      <c r="B10" s="148" t="s">
        <v>181</v>
      </c>
      <c r="C10" s="148" t="str">
        <f>C13</f>
        <v>MANELC</v>
      </c>
      <c r="D10" s="148" t="s">
        <v>162</v>
      </c>
      <c r="E10" s="279">
        <f>E13</f>
        <v>2861.5609722222221</v>
      </c>
      <c r="F10" s="279">
        <f>E10*(1+$M$10)^(F6-E6)</f>
        <v>4066.2762112692412</v>
      </c>
      <c r="G10" s="279">
        <f t="shared" ref="G10:K10" si="1">F10*(1+$M$10)^(G6-F6)</f>
        <v>7303.3143733654952</v>
      </c>
      <c r="H10" s="279">
        <f t="shared" si="1"/>
        <v>13117.259641237719</v>
      </c>
      <c r="I10" s="279">
        <f t="shared" si="1"/>
        <v>23559.508970768085</v>
      </c>
      <c r="J10" s="279">
        <f t="shared" si="1"/>
        <v>42314.513711289808</v>
      </c>
      <c r="K10" s="279">
        <f t="shared" si="1"/>
        <v>75999.804276250114</v>
      </c>
      <c r="L10" s="148"/>
      <c r="M10" s="280">
        <f>EBF!P68</f>
        <v>0.12425447242893894</v>
      </c>
      <c r="N10" s="126"/>
      <c r="O10" s="128"/>
      <c r="P10" s="128"/>
      <c r="Q10" s="128"/>
      <c r="R10" s="128"/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28"/>
      <c r="P11" s="128"/>
      <c r="Q11" s="128"/>
      <c r="R11" s="128"/>
    </row>
    <row r="12" spans="2:18" ht="13.5" thickBot="1" x14ac:dyDescent="0.25">
      <c r="B12" s="122" t="s">
        <v>181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9" t="s">
        <v>87</v>
      </c>
      <c r="P12" s="9"/>
      <c r="Q12" s="9"/>
      <c r="R12" s="9"/>
    </row>
    <row r="13" spans="2:18" ht="13.5" thickBot="1" x14ac:dyDescent="0.25">
      <c r="B13" s="122" t="s">
        <v>181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183</v>
      </c>
      <c r="P13" s="1" t="str">
        <f>DemTechs_INDF!P$6</f>
        <v>MANELC</v>
      </c>
      <c r="Q13" s="91" t="s">
        <v>184</v>
      </c>
      <c r="R13" s="129">
        <v>0.75</v>
      </c>
    </row>
    <row r="14" spans="2:18" ht="13.5" thickBot="1" x14ac:dyDescent="0.25">
      <c r="B14" s="141" t="s">
        <v>181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/>
      <c r="P14" s="1"/>
      <c r="Q14" s="91"/>
      <c r="R14" s="129"/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/>
      <c r="P15" s="1"/>
      <c r="Q15" s="91"/>
      <c r="R15" s="129"/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183</v>
      </c>
      <c r="P16" s="1" t="str">
        <f>DemTechs_INDF!P$6</f>
        <v>MANELC</v>
      </c>
      <c r="Q16" s="91" t="s">
        <v>185</v>
      </c>
      <c r="R16" s="129">
        <v>0.25</v>
      </c>
    </row>
    <row r="17" spans="2:18" x14ac:dyDescent="0.2">
      <c r="B17" s="122"/>
      <c r="C17" s="122"/>
      <c r="D17" s="141" t="s">
        <v>248</v>
      </c>
      <c r="E17" s="266">
        <f t="shared" ref="E17:K17" si="5">E13/(SUM(E12:E14))</f>
        <v>0.31214223196744728</v>
      </c>
      <c r="F17" s="266">
        <f t="shared" si="5"/>
        <v>0.39485267755428183</v>
      </c>
      <c r="G17" s="266">
        <f t="shared" si="5"/>
        <v>0.5443664389283468</v>
      </c>
      <c r="H17" s="266">
        <f t="shared" si="5"/>
        <v>0.68618536705606159</v>
      </c>
      <c r="I17" s="266">
        <f t="shared" si="5"/>
        <v>0.79999594391626871</v>
      </c>
      <c r="J17" s="266">
        <f t="shared" si="5"/>
        <v>0.87971124191077421</v>
      </c>
      <c r="K17" s="266">
        <f t="shared" si="5"/>
        <v>0.93038563104541538</v>
      </c>
      <c r="M17" s="151"/>
      <c r="N17" s="5"/>
      <c r="O17" s="1" t="s">
        <v>183</v>
      </c>
      <c r="P17" s="1" t="str">
        <f>DemTechs_INDF!P$6</f>
        <v>MANELC</v>
      </c>
      <c r="Q17" s="91" t="s">
        <v>186</v>
      </c>
      <c r="R17" s="129">
        <v>1.0416666666666666E-2</v>
      </c>
    </row>
    <row r="18" spans="2:18" x14ac:dyDescent="0.2">
      <c r="B18" s="1"/>
      <c r="D18" t="s">
        <v>456</v>
      </c>
      <c r="E18" s="266">
        <f t="shared" ref="E18:K18" si="6">E12/(E12+E13+E14)</f>
        <v>0.22733549394519426</v>
      </c>
      <c r="F18" s="266">
        <f t="shared" si="6"/>
        <v>0.20371998687431561</v>
      </c>
      <c r="G18" s="266">
        <f t="shared" si="6"/>
        <v>0.15811131646422313</v>
      </c>
      <c r="H18" s="266">
        <f t="shared" si="6"/>
        <v>0.11219826080092264</v>
      </c>
      <c r="I18" s="266">
        <f t="shared" si="6"/>
        <v>7.3638599063104923E-2</v>
      </c>
      <c r="J18" s="266">
        <f t="shared" si="6"/>
        <v>4.5585942110823403E-2</v>
      </c>
      <c r="K18" s="266">
        <f t="shared" si="6"/>
        <v>2.7141062642923295E-2</v>
      </c>
      <c r="M18" s="151"/>
      <c r="O18" s="1" t="s">
        <v>183</v>
      </c>
      <c r="P18" s="1" t="str">
        <f>DemTechs_INDF!P$6</f>
        <v>MANELC</v>
      </c>
      <c r="Q18" s="130" t="s">
        <v>187</v>
      </c>
      <c r="R18" s="131">
        <v>1.0416666666666666E-2</v>
      </c>
    </row>
    <row r="19" spans="2:18" x14ac:dyDescent="0.2">
      <c r="D19" t="s">
        <v>455</v>
      </c>
      <c r="E19" s="266">
        <f t="shared" ref="E19:K19" si="7">E14/(E12+E13+E14)</f>
        <v>0.46052227408735841</v>
      </c>
      <c r="F19" s="266">
        <f t="shared" si="7"/>
        <v>0.40142733557140259</v>
      </c>
      <c r="G19" s="266">
        <f t="shared" si="7"/>
        <v>0.29752224460742999</v>
      </c>
      <c r="H19" s="266">
        <f t="shared" si="7"/>
        <v>0.20161637214301584</v>
      </c>
      <c r="I19" s="266">
        <f t="shared" si="7"/>
        <v>0.12636545702062627</v>
      </c>
      <c r="J19" s="266">
        <f t="shared" si="7"/>
        <v>7.4702815978402448E-2</v>
      </c>
      <c r="K19" s="266">
        <f t="shared" si="7"/>
        <v>4.2473306311661428E-2</v>
      </c>
      <c r="O19" s="1" t="s">
        <v>183</v>
      </c>
      <c r="P19" s="1" t="str">
        <f>DemTechs_INDF!P$6</f>
        <v>MANELC</v>
      </c>
      <c r="Q19" t="s">
        <v>188</v>
      </c>
      <c r="R19" s="129">
        <v>1.0416666666666666E-2</v>
      </c>
    </row>
    <row r="20" spans="2:18" x14ac:dyDescent="0.2">
      <c r="E20" s="277">
        <f>SUM(E17:E19)</f>
        <v>1</v>
      </c>
      <c r="F20" s="277">
        <f t="shared" ref="F20:K20" si="8">SUM(F17:F19)</f>
        <v>1</v>
      </c>
      <c r="G20" s="277">
        <f t="shared" si="8"/>
        <v>1</v>
      </c>
      <c r="H20" s="277">
        <f t="shared" si="8"/>
        <v>1</v>
      </c>
      <c r="I20" s="277">
        <f t="shared" si="8"/>
        <v>0.99999999999999989</v>
      </c>
      <c r="J20" s="277">
        <f t="shared" si="8"/>
        <v>1</v>
      </c>
      <c r="K20" s="277">
        <f t="shared" si="8"/>
        <v>1</v>
      </c>
      <c r="O20" s="1" t="s">
        <v>183</v>
      </c>
      <c r="P20" s="1" t="str">
        <f>DemTechs_INDF!P$6</f>
        <v>MANELC</v>
      </c>
      <c r="Q20" t="s">
        <v>189</v>
      </c>
      <c r="R20" s="129">
        <v>1.0416666666666666E-2</v>
      </c>
    </row>
    <row r="21" spans="2:18" x14ac:dyDescent="0.2">
      <c r="E21" s="5"/>
      <c r="O21" s="1" t="s">
        <v>183</v>
      </c>
      <c r="P21" s="1" t="str">
        <f>DemTechs_INDF!P$6</f>
        <v>MANELC</v>
      </c>
      <c r="Q21" t="s">
        <v>190</v>
      </c>
      <c r="R21" s="129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183</v>
      </c>
      <c r="P22" s="1" t="str">
        <f>DemTechs_INDF!P$6</f>
        <v>MANELC</v>
      </c>
      <c r="Q22" t="s">
        <v>191</v>
      </c>
      <c r="R22" s="131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183</v>
      </c>
      <c r="P23" s="1" t="str">
        <f>DemTechs_INDF!P$6</f>
        <v>MANELC</v>
      </c>
      <c r="Q23" t="s">
        <v>192</v>
      </c>
      <c r="R23" s="129">
        <v>1.0416666666666666E-2</v>
      </c>
    </row>
    <row r="24" spans="2:18" x14ac:dyDescent="0.2">
      <c r="O24" s="1"/>
      <c r="P24" s="1"/>
      <c r="R24" s="129"/>
    </row>
    <row r="25" spans="2:18" x14ac:dyDescent="0.2">
      <c r="O25" s="1"/>
      <c r="P25" s="1"/>
      <c r="R25" s="129"/>
    </row>
    <row r="26" spans="2:18" x14ac:dyDescent="0.2">
      <c r="B26" s="1"/>
      <c r="E26" s="5">
        <f>EBF!J19</f>
        <v>150.60848427090019</v>
      </c>
      <c r="O26" s="1" t="s">
        <v>183</v>
      </c>
      <c r="P26" s="1" t="str">
        <f>DemTechs_INDF!P$6</f>
        <v>MANELC</v>
      </c>
      <c r="Q26" t="s">
        <v>193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183</v>
      </c>
      <c r="P27" s="1" t="str">
        <f>DemTechs_INDF!P$6</f>
        <v>MANELC</v>
      </c>
      <c r="Q27" t="s">
        <v>194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195</v>
      </c>
      <c r="R28" s="131">
        <v>1.0416666666666666E-2</v>
      </c>
    </row>
    <row r="29" spans="2:18" x14ac:dyDescent="0.2">
      <c r="B29" s="123"/>
      <c r="C29" s="1" t="s">
        <v>98</v>
      </c>
      <c r="O29" s="1" t="s">
        <v>183</v>
      </c>
      <c r="P29" s="1" t="str">
        <f>DemTechs_INDF!P$6</f>
        <v>MANELC</v>
      </c>
      <c r="Q29" t="s">
        <v>196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183</v>
      </c>
      <c r="P30" s="1" t="str">
        <f>DemTechs_INDF!P$6</f>
        <v>MANELC</v>
      </c>
      <c r="Q30" t="s">
        <v>197</v>
      </c>
      <c r="R30" s="129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198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199</v>
      </c>
      <c r="R32" s="131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200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201</v>
      </c>
      <c r="R34" s="129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202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203</v>
      </c>
      <c r="R36" s="131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204</v>
      </c>
      <c r="R37" s="129">
        <v>1.0416666666666666E-2</v>
      </c>
    </row>
    <row r="38" spans="15:18" x14ac:dyDescent="0.2">
      <c r="O38" s="1" t="s">
        <v>183</v>
      </c>
      <c r="P38" s="1" t="str">
        <f>DemTechs_INDF!P$6</f>
        <v>MANELC</v>
      </c>
      <c r="Q38" t="s">
        <v>205</v>
      </c>
      <c r="R38" s="129">
        <v>1.0416666666666666E-2</v>
      </c>
    </row>
    <row r="39" spans="15:18" x14ac:dyDescent="0.2">
      <c r="O39" s="1" t="s">
        <v>183</v>
      </c>
      <c r="P39" s="1" t="str">
        <f>DemTechs_INDF!P$6</f>
        <v>MANELC</v>
      </c>
      <c r="Q39" t="s">
        <v>206</v>
      </c>
      <c r="R39" s="129">
        <v>1.0416666666666666E-2</v>
      </c>
    </row>
    <row r="40" spans="15:18" x14ac:dyDescent="0.2">
      <c r="O40" s="1" t="s">
        <v>183</v>
      </c>
      <c r="P40" s="1" t="str">
        <f>DemTechs_INDF!P$6</f>
        <v>MANELC</v>
      </c>
      <c r="Q40" t="s">
        <v>207</v>
      </c>
      <c r="R40" s="131">
        <v>1.0416666666666666E-2</v>
      </c>
    </row>
    <row r="41" spans="15:18" x14ac:dyDescent="0.2">
      <c r="O41" s="1" t="s">
        <v>183</v>
      </c>
      <c r="P41" s="1" t="str">
        <f>DemTechs_INDF!P$6</f>
        <v>MANELC</v>
      </c>
      <c r="Q41" t="s">
        <v>208</v>
      </c>
      <c r="R41" s="129">
        <v>1.0416666666666666E-2</v>
      </c>
    </row>
    <row r="42" spans="15:18" x14ac:dyDescent="0.2">
      <c r="O42" s="1" t="s">
        <v>183</v>
      </c>
      <c r="P42" s="1" t="str">
        <f>DemTechs_INDF!P$6</f>
        <v>MANELC</v>
      </c>
      <c r="Q42" t="s">
        <v>209</v>
      </c>
      <c r="R42" s="129">
        <v>1.0416666666666666E-2</v>
      </c>
    </row>
    <row r="43" spans="15:18" x14ac:dyDescent="0.2">
      <c r="O43" s="1" t="s">
        <v>183</v>
      </c>
      <c r="P43" s="1" t="str">
        <f>DemTechs_INDF!P$6</f>
        <v>MANELC</v>
      </c>
      <c r="Q43" t="s">
        <v>210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211</v>
      </c>
      <c r="R44" s="131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212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213</v>
      </c>
      <c r="R46" s="129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214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215</v>
      </c>
      <c r="R48" s="131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216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217</v>
      </c>
      <c r="R50" s="129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218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219</v>
      </c>
      <c r="R52" s="131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220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221</v>
      </c>
      <c r="R54" s="129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222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223</v>
      </c>
      <c r="R56" s="131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224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225</v>
      </c>
      <c r="R58" s="129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226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227</v>
      </c>
      <c r="R60" s="131">
        <v>3.125E-2</v>
      </c>
    </row>
    <row r="61" spans="15:18" x14ac:dyDescent="0.2">
      <c r="O61" s="1" t="s">
        <v>183</v>
      </c>
      <c r="P61" s="1" t="str">
        <f>DemTechs_INDF!P$6</f>
        <v>MANELC</v>
      </c>
      <c r="Q61" t="s">
        <v>228</v>
      </c>
      <c r="R61" s="129">
        <v>3.125E-2</v>
      </c>
    </row>
    <row r="62" spans="15:18" x14ac:dyDescent="0.2">
      <c r="O62" s="1" t="s">
        <v>183</v>
      </c>
      <c r="P62" s="1" t="str">
        <f>DemTechs_INDF!P$6</f>
        <v>MANELC</v>
      </c>
      <c r="Q62" t="s">
        <v>229</v>
      </c>
      <c r="R62" s="129">
        <v>3.125E-2</v>
      </c>
    </row>
    <row r="63" spans="15:18" x14ac:dyDescent="0.2">
      <c r="O63" s="1" t="s">
        <v>183</v>
      </c>
      <c r="P63" s="1" t="str">
        <f>DemTechs_INDF!P$6</f>
        <v>MANELC</v>
      </c>
      <c r="Q63" t="s">
        <v>230</v>
      </c>
      <c r="R63" s="129">
        <v>3.125E-2</v>
      </c>
    </row>
    <row r="64" spans="15:18" x14ac:dyDescent="0.2">
      <c r="O64" s="1" t="s">
        <v>183</v>
      </c>
      <c r="P64" s="1" t="str">
        <f>DemTechs_INDF!P$6</f>
        <v>MANELC</v>
      </c>
      <c r="Q64" t="s">
        <v>231</v>
      </c>
      <c r="R64" s="131">
        <v>3.125E-2</v>
      </c>
    </row>
    <row r="65" spans="15:18" x14ac:dyDescent="0.2">
      <c r="O65" s="1" t="s">
        <v>183</v>
      </c>
      <c r="P65" s="1" t="str">
        <f>DemTechs_INDF!P$6</f>
        <v>MANELC</v>
      </c>
      <c r="Q65" t="s">
        <v>232</v>
      </c>
      <c r="R65" s="129">
        <v>3.125E-2</v>
      </c>
    </row>
    <row r="66" spans="15:18" x14ac:dyDescent="0.2">
      <c r="O66" s="1" t="s">
        <v>183</v>
      </c>
      <c r="P66" s="1" t="str">
        <f>DemTechs_INDF!P$6</f>
        <v>MANELC</v>
      </c>
      <c r="Q66" t="s">
        <v>233</v>
      </c>
      <c r="R66" s="129">
        <v>3.125E-2</v>
      </c>
    </row>
    <row r="67" spans="15:18" x14ac:dyDescent="0.2">
      <c r="O67" s="1" t="s">
        <v>183</v>
      </c>
      <c r="P67" s="155" t="s">
        <v>167</v>
      </c>
      <c r="Q67" s="155" t="s">
        <v>446</v>
      </c>
      <c r="R67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2025-11-10T15:13:09Z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