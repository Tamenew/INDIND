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F1FDAFCA-660A-440E-B6C8-76EB494E2C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MELC" sheetId="6" r:id="rId1"/>
    <sheet name="IND_MELC" sheetId="2" r:id="rId2"/>
  </sheets>
  <externalReferences>
    <externalReference r:id="rId3"/>
  </externalReferenc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F5" i="2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<sst xmlns="http://schemas.openxmlformats.org/spreadsheetml/2006/main" count="39" uniqueCount="19">
  <si>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</si>
  <si>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</si>
  <si>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</si>
  <si>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</si>
  <si>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</si>
  <si>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</si>
  <si>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</si>
  <si>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</si>
  <si>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</si>
  <si>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</si>
  <si>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</si>
  <si>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</si>
  <si>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</si>
  <si>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</si>
  <si>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</si>
  <si>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</si>
  <si>
    <t>Year</t>
  </si>
  <si>
    <t>DayNite</t>
  </si>
  <si>
    <t>~TFM_FILL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</si>
</sst>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">
          <cell r="M10">
            <v>0.20222228165192857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I4" sqref="I4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18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8</v>
      </c>
      <c r="C3" s="7" t="s">
        <v>9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12</v>
      </c>
      <c r="I3" s="5" t="s">
        <v>0</v>
      </c>
    </row>
    <row r="4" spans="2:9" x14ac:dyDescent="0.25">
      <c r="B4" t="s">
        <v>10</v>
      </c>
      <c r="C4" t="s">
        <v>11</v>
      </c>
      <c r="D4" t="s">
        <v>17</v>
      </c>
      <c r="F4" t="s">
        <v>6</v>
      </c>
      <c r="G4">
        <v>2022</v>
      </c>
      <c r="H4">
        <v>2861.5612011470998</v>
      </c>
      <c r="I4" t="s">
        <v>14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workbookViewId="0">
      <selection activeCell="K5" sqref="K5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13</v>
      </c>
      <c r="K2" t="s">
        <v>14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15</v>
      </c>
      <c r="F3" s="4" t="s">
        <v>12</v>
      </c>
      <c r="G3" s="5" t="s">
        <v>0</v>
      </c>
      <c r="J3" s="8" t="s">
        <v>12</v>
      </c>
      <c r="K3" s="8" t="s">
        <v>12</v>
      </c>
    </row>
    <row r="4" spans="1:11" x14ac:dyDescent="0.25">
      <c r="D4" t="s">
        <v>6</v>
      </c>
      <c r="E4">
        <v>2025</v>
      </c>
      <c r="F4" s="10">
        <f>BY_MELC!$H$4*(1+$K$4)^(E4-2022)</f>
        <v>4972.3003841051932</v>
      </c>
      <c r="G4" s="6" t="s">
        <v>14</v>
      </c>
      <c r="J4" s="9">
        <v>0.26498832137448636</v>
      </c>
      <c r="K4" s="11">
        <f>[1]Demands!$M$10</f>
        <v>0.20222228165192857</v>
      </c>
    </row>
    <row r="5" spans="1:11" x14ac:dyDescent="0.25">
      <c r="D5" t="s">
        <v>6</v>
      </c>
      <c r="E5">
        <v>2030</v>
      </c>
      <c r="F5" s="10">
        <f>BY_MELC!$H$4*(1+$K$4)^(E5-2022)</f>
        <v>12487.66446859296</v>
      </c>
      <c r="G5" s="6" t="s">
        <v>14</v>
      </c>
      <c r="J5" s="9"/>
    </row>
    <row r="6" spans="1:11" x14ac:dyDescent="0.25">
      <c r="D6" t="s">
        <v>6</v>
      </c>
      <c r="E6">
        <v>2035</v>
      </c>
      <c r="F6" s="10">
        <f>BY_MELC!$H$4*(1+$K$4)^(E6-2022)</f>
        <v>31362.096380712152</v>
      </c>
      <c r="G6" s="6" t="s">
        <v>14</v>
      </c>
      <c r="J6" s="9"/>
    </row>
    <row r="7" spans="1:11" x14ac:dyDescent="0.25">
      <c r="D7" t="s">
        <v>6</v>
      </c>
      <c r="E7">
        <v>2040</v>
      </c>
      <c r="F7" s="10">
        <f>BY_MELC!$H$4*(1+$K$4)^(E7-2022)</f>
        <v>78764.215027303871</v>
      </c>
      <c r="G7" s="6" t="s">
        <v>14</v>
      </c>
      <c r="J7" s="9"/>
    </row>
    <row r="8" spans="1:11" x14ac:dyDescent="0.25">
      <c r="D8" t="s">
        <v>6</v>
      </c>
      <c r="E8">
        <v>2045</v>
      </c>
      <c r="F8" s="10">
        <f>BY_MELC!$H$4*(1+$K$4)^(E8-2022)</f>
        <v>197812.08161463114</v>
      </c>
      <c r="G8" s="6" t="s">
        <v>14</v>
      </c>
    </row>
    <row r="9" spans="1:11" x14ac:dyDescent="0.25">
      <c r="D9" t="s">
        <v>6</v>
      </c>
      <c r="E9">
        <v>2050</v>
      </c>
      <c r="F9" s="10">
        <f>BY_MELC!$H$4*(1+$K$4)^(E9-2022)</f>
        <v>496794.3833268584</v>
      </c>
      <c r="G9" s="6" t="s">
        <v>14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BY_MELC</vt:lpstr>
      <vt:lpstr>IND_MELC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2025-11-08T08:07:48Z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