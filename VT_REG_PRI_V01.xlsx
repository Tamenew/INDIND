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2CE0A3B0-2FAF-4ABF-AA21-BD3DCC3266FC}" xr6:coauthVersionLast="47" xr6:coauthVersionMax="47" xr10:uidLastSave="{00000000-0000-0000-0000-000000000000}"/>
  <bookViews>
    <workbookView xWindow="-120" yWindow="-120" windowWidth="29040" windowHeight="15720" tabRatio="890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F9" i="145"/>
  <c r="F13" i="145" s="1"/>
  <c r="I9" i="145"/>
  <c r="I13" i="145" s="1"/>
  <c r="C9" i="145"/>
  <c r="J13" i="145" l="1"/>
  <c r="K13" i="145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<sst xmlns="http://schemas.openxmlformats.org/spreadsheetml/2006/main" count="852" uniqueCount="452">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</sst>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27" zoomScale="96" zoomScaleNormal="96" workbookViewId="0">
      <selection activeCell="G30" sqref="G30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5" t="s">
        <v>451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5" t="s">
        <v>451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5" t="s">
        <v>451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451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G1" zoomScale="118" zoomScaleNormal="118" workbookViewId="0">
      <selection activeCell="T18" sqref="T18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450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K18" zoomScale="226" zoomScaleNormal="226" workbookViewId="0">
      <selection activeCell="F7" sqref="F1:F1048576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 t="s">
        <v>182</v>
      </c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48"/>
      <c r="M7" s="150" t="s">
        <v>252</v>
      </c>
      <c r="N7" s="126"/>
      <c r="O7" s="118" t="s">
        <v>178</v>
      </c>
      <c r="P7" s="118" t="s">
        <v>0</v>
      </c>
      <c r="Q7" s="118" t="s">
        <v>184</v>
      </c>
      <c r="R7" s="118">
        <v>2022</v>
      </c>
    </row>
    <row r="8" spans="2:18" ht="34.5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180</v>
      </c>
      <c r="Q8" s="128"/>
      <c r="R8" s="128"/>
    </row>
    <row r="9" spans="2:18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>
        <f t="shared" ref="F9:K9" si="0">$E$9*(1+$M$9)^(F6-$E$6)</f>
        <v>20811.797787542779</v>
      </c>
      <c r="G9" s="124">
        <f t="shared" si="0"/>
        <v>67412.770774944656</v>
      </c>
      <c r="H9" s="124">
        <f t="shared" si="0"/>
        <v>218360.84080518034</v>
      </c>
      <c r="I9" s="124">
        <f t="shared" si="0"/>
        <v>707305.9933455087</v>
      </c>
      <c r="J9" s="124">
        <f t="shared" si="0"/>
        <v>2291078.2280272678</v>
      </c>
      <c r="K9" s="124">
        <f t="shared" si="0"/>
        <v>7421172.019358933</v>
      </c>
      <c r="M9" s="152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>
        <f t="shared" ref="F10:K10" si="1">$E$10*(1+$M$10)^(F6-$E$6)</f>
        <v>3692.8738709213426</v>
      </c>
      <c r="G10" s="124">
        <f t="shared" si="1"/>
        <v>5648.9387778083592</v>
      </c>
      <c r="H10" s="124">
        <f t="shared" si="1"/>
        <v>8641.1045789293585</v>
      </c>
      <c r="I10" s="124">
        <f t="shared" si="1"/>
        <v>13218.179782249905</v>
      </c>
      <c r="J10" s="124">
        <f t="shared" si="1"/>
        <v>20219.669274912092</v>
      </c>
      <c r="K10" s="124">
        <f t="shared" si="1"/>
        <v>30929.752229261561</v>
      </c>
      <c r="M10" s="153">
        <f>EBF!L63</f>
        <v>8.8730723400078371E-2</v>
      </c>
      <c r="O10" s="1" t="s">
        <v>185</v>
      </c>
      <c r="P10" s="1" t="str">
        <f>DemTechs_INDF!P$6</f>
        <v>MANELC</v>
      </c>
      <c r="Q10" s="91" t="s">
        <v>186</v>
      </c>
      <c r="R10" s="129">
        <v>0.75</v>
      </c>
    </row>
    <row r="11" spans="2:18" ht="13.5" thickBot="1" x14ac:dyDescent="0.25">
      <c r="B11" s="122"/>
      <c r="C11" s="122"/>
      <c r="D11" s="122"/>
      <c r="E11" s="124"/>
      <c r="F11" s="124"/>
      <c r="K11" s="5"/>
      <c r="M11" s="151"/>
      <c r="O11" s="1" t="s">
        <v>185</v>
      </c>
      <c r="P11" s="1" t="str">
        <f>DemTechs_INDF!P$6</f>
        <v>MANELC</v>
      </c>
      <c r="Q11" s="91" t="s">
        <v>187</v>
      </c>
      <c r="R11" s="129">
        <v>0.25</v>
      </c>
    </row>
    <row r="12" spans="2:18" x14ac:dyDescent="0.2">
      <c r="B12" s="122"/>
      <c r="C12" s="122"/>
      <c r="D12" s="141" t="s">
        <v>250</v>
      </c>
      <c r="E12" s="266">
        <f>E10/(E$9+E$10)</f>
        <v>0.21772662415091906</v>
      </c>
      <c r="F12" s="266">
        <f>F10/(F$9+F$10)</f>
        <v>0.15070081013086306</v>
      </c>
      <c r="G12" s="266">
        <f t="shared" ref="G12:K12" si="2">G10/(G$9+G$10)</f>
        <v>7.7317363806408537E-2</v>
      </c>
      <c r="H12" s="266">
        <f t="shared" si="2"/>
        <v>3.8066213768819274E-2</v>
      </c>
      <c r="I12" s="266">
        <f t="shared" si="2"/>
        <v>1.8345227370888145E-2</v>
      </c>
      <c r="J12" s="266">
        <f t="shared" si="2"/>
        <v>8.7481883224629457E-3</v>
      </c>
      <c r="K12" s="266">
        <f t="shared" si="2"/>
        <v>4.1504736753843075E-3</v>
      </c>
      <c r="M12" s="151"/>
      <c r="N12" s="5"/>
      <c r="O12" s="1" t="s">
        <v>185</v>
      </c>
      <c r="P12" s="1" t="str">
        <f>DemTechs_INDF!P$6</f>
        <v>MANELC</v>
      </c>
      <c r="Q12" s="91" t="s">
        <v>188</v>
      </c>
      <c r="R12" s="129">
        <v>1.0416666666666666E-2</v>
      </c>
    </row>
    <row r="13" spans="2:18" x14ac:dyDescent="0.2">
      <c r="B13" s="1"/>
      <c r="D13" t="s">
        <v>251</v>
      </c>
      <c r="E13" s="266">
        <f>E9/(E$9+E$10)</f>
        <v>0.78227337584908085</v>
      </c>
      <c r="F13" s="266">
        <f>F9/(F$9+F$10)</f>
        <v>0.84929918986913688</v>
      </c>
      <c r="G13" s="266">
        <f t="shared" ref="G13:K13" si="3">G9/(G$9+G$10)</f>
        <v>0.92268263619359148</v>
      </c>
      <c r="H13" s="266">
        <f t="shared" si="3"/>
        <v>0.96193378623118064</v>
      </c>
      <c r="I13" s="266">
        <f t="shared" si="3"/>
        <v>0.98165477262911194</v>
      </c>
      <c r="J13" s="266">
        <f t="shared" si="3"/>
        <v>0.99125181167753695</v>
      </c>
      <c r="K13" s="266">
        <f t="shared" si="3"/>
        <v>0.99584952632461576</v>
      </c>
      <c r="M13" s="151"/>
      <c r="O13" s="1" t="s">
        <v>185</v>
      </c>
      <c r="P13" s="1" t="str">
        <f>DemTechs_INDF!P$6</f>
        <v>MANELC</v>
      </c>
      <c r="Q13" s="130" t="s">
        <v>189</v>
      </c>
      <c r="R13" s="131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29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29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29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1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29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29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29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1">
        <v>1.0416666666666666E-2</v>
      </c>
    </row>
    <row r="22" spans="2:18" x14ac:dyDescent="0.2">
      <c r="B22" s="123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29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29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29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1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29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29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29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1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29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29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29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1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29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29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29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1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29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29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29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1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29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29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29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1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29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29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29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1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29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29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29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1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29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29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29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1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29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29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2025-11-05T16:11:16Z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