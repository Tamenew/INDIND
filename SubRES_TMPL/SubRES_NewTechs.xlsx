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3509E047-3C66-43C5-AB79-BE280E48C7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7" i="7"/>
  <c r="B36" i="7"/>
  <c r="B35" i="7"/>
  <c r="D35" i="6"/>
  <c r="B24" i="7"/>
  <c r="D27" i="6"/>
  <c r="D26" i="6"/>
  <c r="B35" i="6"/>
  <c r="B22" i="7"/>
  <c r="D37" i="6"/>
  <c r="D36" i="6"/>
  <c r="B37" i="6"/>
  <c r="B36" i="6"/>
  <c r="C35" i="6"/>
  <c r="C34" i="6"/>
  <c r="C33" i="6"/>
  <c r="B23" i="7"/>
  <c r="B21" i="7"/>
  <c r="C23" i="7"/>
  <c r="C21" i="7"/>
  <c r="B20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<sst xmlns="http://schemas.openxmlformats.org/spreadsheetml/2006/main" count="317" uniqueCount="142">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</sst>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4" zoomScale="96" zoomScaleNormal="96" workbookViewId="0">
      <selection activeCell="Q30" sqref="Q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4">
        <v>9.1191599999999994E-3</v>
      </c>
      <c r="J33" s="36"/>
      <c r="K33" s="75">
        <v>8.76</v>
      </c>
      <c r="L33" s="63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4">
        <v>6.0531600000000001E-3</v>
      </c>
      <c r="J34" s="36"/>
      <c r="K34" s="75">
        <v>8.76</v>
      </c>
      <c r="L34" s="63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6">
        <v>3.2210519999999999E-2</v>
      </c>
      <c r="J35" s="36"/>
      <c r="K35" s="75">
        <v>8.76</v>
      </c>
      <c r="L35" s="63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7">
        <v>0</v>
      </c>
      <c r="J36" s="64"/>
      <c r="K36" s="75">
        <v>8.76</v>
      </c>
      <c r="L36" s="63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7">
        <v>0</v>
      </c>
      <c r="J37" s="64"/>
      <c r="K37" s="75">
        <v>8.76</v>
      </c>
      <c r="L37" s="63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">
      <c r="B38" s="12"/>
      <c r="C38" s="12"/>
      <c r="D38" s="12"/>
      <c r="E38" s="1"/>
      <c r="F38" s="1"/>
      <c r="G38" s="1"/>
      <c r="I38" s="67"/>
      <c r="J38" s="64"/>
      <c r="K38" s="68"/>
      <c r="L38" s="63"/>
      <c r="N38" s="72"/>
      <c r="O38" s="71"/>
      <c r="P38" s="69"/>
      <c r="Q38" s="73"/>
    </row>
    <row r="39" spans="2:20" x14ac:dyDescent="0.2">
      <c r="B39" s="12"/>
      <c r="C39" s="15"/>
      <c r="D39" s="12"/>
      <c r="E39" s="1"/>
      <c r="F39" s="1"/>
      <c r="G39" s="1"/>
      <c r="I39" s="67"/>
      <c r="J39" s="64"/>
      <c r="K39" s="68"/>
      <c r="L39" s="63"/>
      <c r="N39" s="71"/>
      <c r="O39" s="71"/>
      <c r="P39" s="70"/>
      <c r="Q39" s="73"/>
    </row>
    <row r="40" spans="2:20" x14ac:dyDescent="0.2">
      <c r="B40" s="12"/>
      <c r="C40" s="15"/>
      <c r="D40" s="12"/>
      <c r="E40" s="1"/>
      <c r="F40" s="1"/>
      <c r="G40" s="1"/>
      <c r="I40" s="67"/>
      <c r="J40" s="64"/>
      <c r="K40" s="68"/>
      <c r="L40" s="63"/>
      <c r="N40" s="71"/>
      <c r="O40" s="71"/>
      <c r="P40" s="70"/>
      <c r="Q40" s="73"/>
    </row>
    <row r="41" spans="2:20" x14ac:dyDescent="0.2">
      <c r="B41" s="12"/>
      <c r="C41" s="15"/>
      <c r="D41" s="12"/>
      <c r="E41" s="1"/>
      <c r="F41" s="1"/>
      <c r="G41" s="1"/>
      <c r="I41" s="67"/>
      <c r="J41" s="64"/>
      <c r="K41" s="68"/>
      <c r="L41" s="63"/>
      <c r="N41" s="71"/>
      <c r="O41" s="71"/>
      <c r="P41" s="70"/>
      <c r="Q41" s="73"/>
    </row>
    <row r="42" spans="2:20" x14ac:dyDescent="0.2">
      <c r="B42" s="12"/>
      <c r="C42" s="1"/>
      <c r="D42" s="12"/>
      <c r="E42" s="1"/>
      <c r="F42" s="1"/>
      <c r="G42" s="1"/>
      <c r="I42" s="67"/>
      <c r="J42" s="64"/>
      <c r="K42" s="68"/>
      <c r="L42" s="63"/>
      <c r="N42" s="71"/>
      <c r="O42" s="71"/>
      <c r="P42" s="70"/>
      <c r="Q42" s="73"/>
    </row>
    <row r="43" spans="2:20" x14ac:dyDescent="0.2">
      <c r="B43" s="8"/>
      <c r="C43" s="12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8"/>
      <c r="C44" s="12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8"/>
      <c r="C45" s="12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8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12"/>
      <c r="C47" s="1"/>
      <c r="D47" s="12"/>
      <c r="E47" s="1"/>
      <c r="F47" s="1"/>
      <c r="G47" s="1"/>
      <c r="I47" s="63"/>
      <c r="J47" s="64"/>
      <c r="K47" s="63"/>
      <c r="L47" s="63"/>
      <c r="N47" s="71"/>
      <c r="O47" s="71"/>
      <c r="P47" s="70"/>
      <c r="Q47" s="73"/>
    </row>
    <row r="48" spans="2:20" x14ac:dyDescent="0.2">
      <c r="B48" s="12"/>
      <c r="C48" s="1"/>
      <c r="D48" s="12"/>
      <c r="E48" s="1"/>
      <c r="F48" s="1"/>
      <c r="G48" s="1"/>
      <c r="I48" s="63"/>
      <c r="J48" s="64"/>
      <c r="K48" s="63"/>
      <c r="L48" s="63"/>
      <c r="N48" s="71"/>
      <c r="O48" s="71"/>
      <c r="P48" s="70"/>
      <c r="Q48" s="73"/>
    </row>
    <row r="49" spans="1:23" x14ac:dyDescent="0.2">
      <c r="B49" s="12"/>
      <c r="D49" s="12"/>
      <c r="E49" s="1"/>
      <c r="F49" s="1"/>
      <c r="G49" s="1"/>
      <c r="I49" s="63"/>
      <c r="J49" s="64"/>
      <c r="K49" s="63"/>
      <c r="L49" s="63"/>
      <c r="P49" s="15"/>
      <c r="Q49" s="34"/>
    </row>
    <row r="50" spans="1:23" x14ac:dyDescent="0.2">
      <c r="I50" s="63"/>
      <c r="J50" s="64"/>
      <c r="K50" s="63"/>
      <c r="L50" s="63"/>
      <c r="P50" s="15"/>
      <c r="Q50" s="34"/>
    </row>
    <row r="51" spans="1:23" x14ac:dyDescent="0.2">
      <c r="B51" s="30"/>
      <c r="C51" s="1" t="s">
        <v>83</v>
      </c>
      <c r="I51" s="63"/>
      <c r="J51" s="64"/>
      <c r="K51" s="63"/>
      <c r="L51" s="63"/>
    </row>
    <row r="52" spans="1:23" x14ac:dyDescent="0.2">
      <c r="B52" s="38"/>
      <c r="C52" s="1" t="s">
        <v>84</v>
      </c>
      <c r="I52" s="63"/>
      <c r="J52" s="64"/>
      <c r="K52" s="63"/>
      <c r="L52" s="63"/>
    </row>
    <row r="53" spans="1:23" x14ac:dyDescent="0.2">
      <c r="I53" s="63"/>
      <c r="J53" s="64"/>
      <c r="K53" s="63"/>
      <c r="L53" s="63"/>
    </row>
    <row r="54" spans="1:23" x14ac:dyDescent="0.2">
      <c r="I54" s="65"/>
      <c r="J54" s="65"/>
      <c r="K54" s="65"/>
    </row>
    <row r="61" spans="1:23" s="1" customFormat="1" x14ac:dyDescent="0.2">
      <c r="A61"/>
      <c r="B61"/>
      <c r="C61"/>
      <c r="D61"/>
      <c r="E61"/>
      <c r="F61"/>
      <c r="G61"/>
      <c r="H61"/>
      <c r="I61"/>
      <c r="J61"/>
      <c r="K61"/>
      <c r="L61" s="65"/>
      <c r="M61"/>
      <c r="N61"/>
      <c r="O61"/>
      <c r="P61"/>
      <c r="Q61"/>
      <c r="R61"/>
      <c r="S61"/>
      <c r="T61"/>
      <c r="U61"/>
      <c r="V61"/>
      <c r="W61"/>
    </row>
    <row r="62" spans="1:23" x14ac:dyDescent="0.2">
      <c r="W62" s="1"/>
    </row>
    <row r="63" spans="1:23" x14ac:dyDescent="0.2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A5" zoomScale="118" zoomScaleNormal="118" workbookViewId="0">
      <selection activeCell="C31" sqref="C31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tr">
        <f>S6</f>
        <v>BIOHEAT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17">
        <v>2030</v>
      </c>
      <c r="F28" s="55"/>
      <c r="G28" s="56">
        <v>1</v>
      </c>
      <c r="H28" s="56">
        <v>1</v>
      </c>
      <c r="I28" s="56">
        <v>0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17">
        <v>2030</v>
      </c>
      <c r="F29" s="55"/>
      <c r="G29" s="56">
        <v>1</v>
      </c>
      <c r="H29" s="56">
        <v>1</v>
      </c>
      <c r="I29" s="56">
        <v>0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17">
        <v>2030</v>
      </c>
      <c r="F30" s="55"/>
      <c r="G30" s="56">
        <v>1</v>
      </c>
      <c r="H30" s="56">
        <v>1</v>
      </c>
      <c r="I30" s="56">
        <v>0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 t="s">
        <v>67</v>
      </c>
      <c r="D31" s="54" t="s">
        <v>136</v>
      </c>
      <c r="E31" s="17">
        <v>2030</v>
      </c>
      <c r="F31" s="55"/>
      <c r="G31" s="56">
        <v>1</v>
      </c>
      <c r="H31" s="56">
        <v>1</v>
      </c>
      <c r="I31" s="56">
        <v>0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 t="str">
        <f>S35</f>
        <v>WNDTRBN</v>
      </c>
      <c r="C35" s="16"/>
      <c r="D35" s="54" t="s">
        <v>69</v>
      </c>
      <c r="E35" s="17">
        <v>2030</v>
      </c>
      <c r="F35" s="55"/>
      <c r="G35" s="56">
        <v>1</v>
      </c>
      <c r="H35" s="56">
        <v>0.97</v>
      </c>
      <c r="I35" s="56">
        <v>25</v>
      </c>
      <c r="J35" s="81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6" customFormat="1" x14ac:dyDescent="0.2">
      <c r="B36" s="16" t="str">
        <f>S36</f>
        <v>SOLPV</v>
      </c>
      <c r="C36" s="8"/>
      <c r="D36" s="54" t="s">
        <v>69</v>
      </c>
      <c r="E36" s="17">
        <v>2030</v>
      </c>
      <c r="F36" s="58"/>
      <c r="G36" s="8">
        <v>1</v>
      </c>
      <c r="H36" s="8">
        <v>0.99</v>
      </c>
      <c r="I36" s="8">
        <v>25</v>
      </c>
      <c r="J36" s="82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7" customFormat="1" x14ac:dyDescent="0.2">
      <c r="B37" s="8" t="s">
        <v>65</v>
      </c>
      <c r="C37" s="8"/>
      <c r="D37" s="8" t="str">
        <f>S7</f>
        <v>SOLHEAT</v>
      </c>
      <c r="E37" s="17">
        <v>2030</v>
      </c>
      <c r="F37" s="58"/>
      <c r="G37" s="8">
        <v>1</v>
      </c>
      <c r="H37" s="8">
        <v>1</v>
      </c>
      <c r="I37" s="8">
        <v>25</v>
      </c>
      <c r="J37" s="82">
        <v>36377</v>
      </c>
      <c r="K37" s="8">
        <v>0</v>
      </c>
      <c r="L37" s="57">
        <v>14</v>
      </c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2025-11-13T10:53:08Z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