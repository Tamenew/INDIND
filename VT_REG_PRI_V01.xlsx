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3EEE7662-9506-4B3F-A28A-DF5EBE84BD72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43" l="1"/>
  <c r="F20" i="143"/>
  <c r="H29" i="143"/>
  <c r="H28" i="143"/>
  <c r="H27" i="143"/>
  <c r="G29" i="143"/>
  <c r="G28" i="143"/>
  <c r="E10" i="145"/>
  <c r="E11" i="145"/>
  <c r="E9" i="145"/>
  <c r="G27" i="143"/>
  <c r="I30" i="137"/>
  <c r="E21" i="143"/>
  <c r="E20" i="143"/>
  <c r="C21" i="143"/>
  <c r="D21" i="143"/>
  <c r="D20" i="143"/>
  <c r="B21" i="143"/>
  <c r="C20" i="143"/>
  <c r="B20" i="143"/>
  <c r="B19" i="143"/>
  <c r="F9" i="145"/>
  <c r="F11" i="145"/>
  <c r="F10" i="145"/>
  <c r="F13" i="145"/>
  <c r="F14" i="145"/>
  <c r="F15" i="145"/>
  <c r="F16" i="145"/>
  <c r="G9" i="145"/>
  <c r="G11" i="145"/>
  <c r="G10" i="145"/>
  <c r="G13" i="145"/>
  <c r="G14" i="145"/>
  <c r="G15" i="145"/>
  <c r="G16" i="145"/>
  <c r="H9" i="145"/>
  <c r="H11" i="145"/>
  <c r="H10" i="145"/>
  <c r="H13" i="145"/>
  <c r="H14" i="145"/>
  <c r="H15" i="145"/>
  <c r="H16" i="145"/>
  <c r="I9" i="145"/>
  <c r="I11" i="145"/>
  <c r="I10" i="145"/>
  <c r="I13" i="145"/>
  <c r="I14" i="145"/>
  <c r="I15" i="145"/>
  <c r="I16" i="145"/>
  <c r="J9" i="145"/>
  <c r="J11" i="145"/>
  <c r="J10" i="145"/>
  <c r="J13" i="145"/>
  <c r="J14" i="145"/>
  <c r="J15" i="145"/>
  <c r="J16" i="145"/>
  <c r="K9" i="145"/>
  <c r="K11" i="145"/>
  <c r="K10" i="145"/>
  <c r="K13" i="145"/>
  <c r="K14" i="145"/>
  <c r="K15" i="145"/>
  <c r="K16" i="145"/>
  <c r="M11" i="145"/>
  <c r="M10" i="145"/>
  <c r="M9" i="145"/>
  <c r="L64" i="133"/>
  <c r="M64" i="133"/>
  <c r="M63" i="133"/>
  <c r="M62" i="133"/>
  <c r="O53" i="133"/>
  <c r="O54" i="133"/>
  <c r="O55" i="133"/>
  <c r="O56" i="133"/>
  <c r="O57" i="133"/>
  <c r="N53" i="133"/>
  <c r="N54" i="133"/>
  <c r="N55" i="133"/>
  <c r="N56" i="133"/>
  <c r="N57" i="133"/>
  <c r="M53" i="133"/>
  <c r="M54" i="133"/>
  <c r="M55" i="133"/>
  <c r="M56" i="133"/>
  <c r="M57" i="133"/>
  <c r="N52" i="133"/>
  <c r="O52" i="133"/>
  <c r="M52" i="133"/>
  <c r="I62" i="133"/>
  <c r="I63" i="133"/>
  <c r="I64" i="133"/>
  <c r="K64" i="133"/>
  <c r="K63" i="133"/>
  <c r="K62" i="133"/>
  <c r="E15" i="145"/>
  <c r="E14" i="145"/>
  <c r="E13" i="145"/>
  <c r="E16" i="145"/>
  <c r="L63" i="133"/>
  <c r="E64" i="133"/>
  <c r="F64" i="133"/>
  <c r="G64" i="133"/>
  <c r="H64" i="133"/>
  <c r="D64" i="133"/>
  <c r="E62" i="133"/>
  <c r="F62" i="133"/>
  <c r="G62" i="133"/>
  <c r="H62" i="133"/>
  <c r="D62" i="133"/>
  <c r="J64" i="133"/>
  <c r="D11" i="145"/>
  <c r="C11" i="145"/>
  <c r="D17" i="143"/>
  <c r="D16" i="143"/>
  <c r="E19" i="143"/>
  <c r="E18" i="143"/>
  <c r="E17" i="143"/>
  <c r="E16" i="143"/>
  <c r="D23" i="137"/>
  <c r="D24" i="137"/>
  <c r="D25" i="137"/>
  <c r="I23" i="137"/>
  <c r="E40" i="133"/>
  <c r="D39" i="133"/>
  <c r="D38" i="133"/>
  <c r="L61" i="133"/>
  <c r="L62" i="133"/>
  <c r="K61" i="133"/>
  <c r="J61" i="133"/>
  <c r="J62" i="133"/>
  <c r="J63" i="133"/>
  <c r="I61" i="133"/>
  <c r="E63" i="133"/>
  <c r="F63" i="133"/>
  <c r="G63" i="133"/>
  <c r="H63" i="133"/>
  <c r="D63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/>
  <c r="G67" i="147"/>
  <c r="E55" i="133"/>
  <c r="F55" i="133"/>
  <c r="G55" i="133"/>
  <c r="H55" i="133"/>
  <c r="D55" i="133"/>
  <c r="E54" i="133"/>
  <c r="F54" i="133"/>
  <c r="G54" i="133"/>
  <c r="I54" i="133"/>
  <c r="H54" i="133"/>
  <c r="D54" i="133"/>
  <c r="D57" i="133"/>
  <c r="E53" i="133"/>
  <c r="F53" i="133"/>
  <c r="G53" i="133"/>
  <c r="I53" i="133"/>
  <c r="L53" i="133"/>
  <c r="H53" i="133"/>
  <c r="D53" i="133"/>
  <c r="E52" i="133"/>
  <c r="F52" i="133"/>
  <c r="G52" i="133"/>
  <c r="H52" i="133"/>
  <c r="D52" i="133"/>
  <c r="D56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D18" i="143"/>
  <c r="C19" i="143"/>
  <c r="F56" i="133"/>
  <c r="F57" i="133"/>
  <c r="E56" i="133"/>
  <c r="E57" i="133"/>
  <c r="H56" i="133"/>
  <c r="H57" i="133"/>
  <c r="G56" i="13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G57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18" i="133"/>
  <c r="F18" i="133"/>
  <c r="G18" i="133"/>
  <c r="H18" i="133"/>
  <c r="I18" i="133"/>
  <c r="J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C9" i="145"/>
  <c r="E6" i="146"/>
  <c r="F6" i="146"/>
  <c r="D6" i="146"/>
  <c r="C6" i="146"/>
  <c r="E21" i="145"/>
  <c r="E20" i="145"/>
  <c r="F35" i="143"/>
  <c r="C10" i="145"/>
  <c r="I26" i="137"/>
  <c r="I25" i="137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E2" i="145"/>
  <c r="D10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I24" i="137"/>
  <c r="B17" i="143"/>
  <c r="B16" i="143"/>
  <c r="C17" i="143"/>
  <c r="D2" i="143"/>
  <c r="O25" i="137"/>
  <c r="B25" i="137"/>
  <c r="D9" i="145"/>
  <c r="P7" i="143"/>
  <c r="B8" i="146"/>
  <c r="D40" i="133"/>
  <c r="E47" i="133"/>
  <c r="K47" i="133"/>
  <c r="D25" i="144"/>
  <c r="K17" i="144"/>
  <c r="K25" i="144"/>
  <c r="K5" i="144"/>
  <c r="K8" i="144"/>
  <c r="R16" i="143"/>
  <c r="P29" i="145"/>
  <c r="P45" i="145"/>
  <c r="P12" i="145"/>
  <c r="P15" i="145"/>
  <c r="P31" i="145"/>
  <c r="P14" i="145"/>
  <c r="P32" i="145"/>
  <c r="P48" i="145"/>
  <c r="P17" i="145"/>
  <c r="P49" i="145"/>
  <c r="P38" i="145"/>
  <c r="P23" i="145"/>
  <c r="P40" i="145"/>
  <c r="P25" i="145"/>
  <c r="P42" i="145"/>
  <c r="P27" i="145"/>
  <c r="P28" i="145"/>
  <c r="P30" i="145"/>
  <c r="P46" i="145"/>
  <c r="P13" i="145"/>
  <c r="P47" i="145"/>
  <c r="P16" i="145"/>
  <c r="P10" i="145"/>
  <c r="P33" i="145"/>
  <c r="P54" i="145"/>
  <c r="P55" i="145"/>
  <c r="P56" i="145"/>
  <c r="P41" i="145"/>
  <c r="P58" i="145"/>
  <c r="P59" i="145"/>
  <c r="P60" i="145"/>
  <c r="P18" i="145"/>
  <c r="P34" i="145"/>
  <c r="P50" i="145"/>
  <c r="P19" i="145"/>
  <c r="P35" i="145"/>
  <c r="P51" i="145"/>
  <c r="P20" i="145"/>
  <c r="P36" i="145"/>
  <c r="P52" i="145"/>
  <c r="P21" i="145"/>
  <c r="P37" i="145"/>
  <c r="P53" i="145"/>
  <c r="P22" i="145"/>
  <c r="P39" i="145"/>
  <c r="P24" i="145"/>
  <c r="P57" i="145"/>
  <c r="P26" i="145"/>
  <c r="P43" i="145"/>
  <c r="P44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<sst xmlns="http://schemas.openxmlformats.org/spreadsheetml/2006/main" count="878" uniqueCount="465">
  <si>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</si>
  <si>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</si>
  <si>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</si>
  <si>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</si>
  <si>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</si>
  <si>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</si>
  <si>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</si>
  <si>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</si>
  <si>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</si>
  <si>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</si>
  <si>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</si>
  <si>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</si>
  <si>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</si>
  <si>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</si>
  <si>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</si>
  <si>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</si>
  <si>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</si>
  <si>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</si>
  <si>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</si>
  <si>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</si>
  <si>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</si>
  <si>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</si>
  <si>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</si>
  <si>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</si>
  <si>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</si>
  <si>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</si>
  <si>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</si>
  <si>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</si>
  <si>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</si>
  <si>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</si>
  <si>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</si>
  <si>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</si>
  <si>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</si>
  <si>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</si>
  <si>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</si>
  <si>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</si>
  <si>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</si>
  <si>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</si>
  <si>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</si>
  <si>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</si>
  <si>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</si>
  <si>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</si>
  <si>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</si>
  <si>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</si>
  <si>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</si>
  <si>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</si>
  <si>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</si>
  <si>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</si>
  <si>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</si>
  <si>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</si>
  <si>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</si>
  <si>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</si>
  <si>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</si>
  <si>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</si>
  <si>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</si>
  <si>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</si>
  <si>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</si>
  <si>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</si>
  <si>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</si>
  <si>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</si>
  <si>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</si>
  <si>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</si>
  <si>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</si>
  <si>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</si>
  <si>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</si>
  <si>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</si>
  <si>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</si>
  <si>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</si>
  <si>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</si>
  <si>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</si>
  <si>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</si>
  <si>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</si>
  <si>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</si>
  <si>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</si>
  <si>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</si>
  <si>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</si>
  <si>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</si>
  <si>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</si>
  <si>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</si>
  <si>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</si>
  <si>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</si>
  <si>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</si>
  <si>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</si>
  <si>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</si>
  <si>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</si>
  <si>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</si>
  <si>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</si>
  <si>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</si>
  <si>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</si>
  <si>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</si>
  <si>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</si>
  <si>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</si>
  <si>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</si>
  <si>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</si>
  <si>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</si>
  <si>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</si>
  <si>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</si>
  <si>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</si>
  <si>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</si>
  <si>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</si>
  <si>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</si>
  <si>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</si>
  <si>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</si>
  <si>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</si>
  <si>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</si>
  <si>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</si>
  <si>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</si>
  <si>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</si>
  <si>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</si>
  <si>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</si>
  <si>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</si>
  <si>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</si>
  <si>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</si>
  <si>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</si>
  <si>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</si>
  <si>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</si>
  <si>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</si>
  <si>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</si>
  <si>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</si>
  <si>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</si>
  <si>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</si>
  <si>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</si>
  <si>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</si>
  <si>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</si>
  <si>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</si>
  <si>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</si>
  <si>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</si>
  <si>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</si>
  <si>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</si>
  <si>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</si>
  <si>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</si>
  <si>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</si>
  <si>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</si>
  <si>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</si>
  <si>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</si>
  <si>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</si>
  <si>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</si>
  <si>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</si>
  <si>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</si>
  <si>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</si>
  <si>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</si>
  <si>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</si>
  <si>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</si>
  <si>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</si>
  <si>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</si>
  <si>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</si>
  <si>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</si>
  <si>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</si>
  <si>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</si>
  <si>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</si>
  <si>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</si>
  <si>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</si>
  <si>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</si>
  <si>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</si>
  <si>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</si>
  <si>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</si>
  <si>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</si>
  <si>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</si>
  <si>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</si>
  <si>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</si>
  <si>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</si>
  <si>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</si>
  <si>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</si>
  <si>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</si>
  <si>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</si>
  <si>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</si>
  <si>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</si>
  <si>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</si>
  <si>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</si>
  <si>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</si>
  <si>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</si>
  <si>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</si>
  <si>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</si>
  <si>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</si>
  <si>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</si>
  <si>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</si>
  <si>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</si>
  <si>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</si>
  <si>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</si>
  <si>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</si>
  <si>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</si>
  <si>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</si>
  <si>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</si>
  <si>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</si>
  <si>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</si>
  <si>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</si>
  <si>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</si>
  <si>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</si>
  <si>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</si>
  <si>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</si>
  <si>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</si>
  <si>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</si>
  <si>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</si>
  <si>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</si>
  <si>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</si>
  <si>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</si>
  <si>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</si>
  <si>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</si>
  <si>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</si>
  <si>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</si>
  <si>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</si>
  <si>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</si>
  <si>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</si>
  <si>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</si>
  <si>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</si>
  <si>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</si>
  <si>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</si>
  <si>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</si>
  <si>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</si>
  <si>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</si>
  <si>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</si>
  <si>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</si>
  <si>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</si>
  <si>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</si>
  <si>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</si>
  <si>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</si>
  <si>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</si>
  <si>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</si>
  <si>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</si>
  <si>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</si>
  <si>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</si>
  <si>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</si>
  <si>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</si>
  <si>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</si>
  <si>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</si>
  <si>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</si>
  <si>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</si>
  <si>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</si>
  <si>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</si>
  <si>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</si>
  <si>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</si>
  <si>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</si>
  <si>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</si>
  <si>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</si>
  <si>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</si>
  <si>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</si>
  <si>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</si>
  <si>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</si>
  <si>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</si>
  <si>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</si>
  <si>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</si>
  <si>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</si>
  <si>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</si>
  <si>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</si>
  <si>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</si>
  <si>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</si>
  <si>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</si>
  <si>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</si>
  <si>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</si>
  <si>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</si>
  <si>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</si>
  <si>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</si>
  <si>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</si>
  <si>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</si>
  <si>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</si>
  <si>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</si>
  <si>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</si>
  <si>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</si>
  <si>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</si>
  <si>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</si>
  <si>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</si>
  <si>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</si>
  <si>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</si>
  <si>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</si>
  <si>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</si>
  <si>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</si>
  <si>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</si>
  <si>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</si>
  <si>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</si>
  <si>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</si>
  <si>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</si>
  <si>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</si>
  <si>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</si>
  <si>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</si>
  <si>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</si>
  <si>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</si>
  <si>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</si>
  <si>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</si>
  <si>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</si>
  <si>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</si>
  <si>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</si>
  <si>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</si>
  <si>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</si>
  <si>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</si>
  <si>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</si>
  <si>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</si>
  <si>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</si>
  <si>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</si>
  <si>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</si>
  <si>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</si>
  <si>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</si>
  <si>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</si>
  <si>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</si>
  <si>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</si>
  <si>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</si>
  <si>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</si>
  <si>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</si>
  <si>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</si>
  <si>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</si>
  <si>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</si>
  <si>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</si>
  <si>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</si>
  <si>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</si>
  <si>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</si>
  <si>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</si>
  <si>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</si>
  <si>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</si>
  <si>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</si>
  <si>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</si>
  <si>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</si>
  <si>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</si>
  <si>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</si>
  <si>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</si>
  <si>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</si>
  <si>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</si>
  <si>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</si>
  <si>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</si>
  <si>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</si>
  <si>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</si>
  <si>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</si>
  <si>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</si>
  <si>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</si>
  <si>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</si>
  <si>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</si>
  <si>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</si>
  <si>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</si>
  <si>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</si>
  <si>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</si>
  <si>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</si>
  <si>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</si>
  <si>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</si>
  <si>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</si>
  <si>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</si>
  <si>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</si>
  <si>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</si>
  <si>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</si>
  <si>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</si>
  <si>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</si>
  <si>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</si>
  <si>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</si>
  <si>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</si>
  <si>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</si>
  <si>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</si>
  <si>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</si>
  <si>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</si>
  <si>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</si>
  <si>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</si>
  <si>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</si>
  <si>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</si>
  <si>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</si>
  <si>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</si>
  <si>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</si>
  <si>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</si>
  <si>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</si>
  <si>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</si>
  <si>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</si>
  <si>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</si>
  <si>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</si>
  <si>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</si>
  <si>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</si>
  <si>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</si>
  <si>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</si>
  <si>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</si>
  <si>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</si>
  <si>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</si>
  <si>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</si>
  <si>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</si>
  <si>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</si>
  <si>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</si>
  <si>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</si>
  <si>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</si>
  <si>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</si>
  <si>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</si>
  <si>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</si>
  <si>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</si>
  <si>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</si>
  <si>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</si>
  <si>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</si>
  <si>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</si>
  <si>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</si>
  <si>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</si>
  <si>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</si>
  <si>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</si>
  <si>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</si>
  <si>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</si>
  <si>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</si>
  <si>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</si>
  <si>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</si>
  <si>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</si>
  <si>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</si>
  <si>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</si>
  <si>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</si>
  <si>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</si>
  <si>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</si>
  <si>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</si>
  <si>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</si>
  <si>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</si>
  <si>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</si>
  <si>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</si>
  <si>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</si>
  <si>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</si>
  <si>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</si>
  <si>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</si>
  <si>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</si>
  <si>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</si>
  <si>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</si>
  <si>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</si>
  <si>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</si>
  <si>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</si>
  <si>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</si>
  <si>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</si>
  <si>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</si>
  <si>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</si>
  <si>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</si>
  <si>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</si>
  <si>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</si>
  <si>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</si>
  <si>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</si>
  <si>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</si>
  <si>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</si>
  <si>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</si>
  <si>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</si>
  <si>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</si>
  <si>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</si>
  <si>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</si>
  <si>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</si>
  <si>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</si>
  <si>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</si>
  <si>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</si>
  <si>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</si>
  <si>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</si>
  <si>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</si>
  <si>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</si>
  <si>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</si>
  <si>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</si>
  <si>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</si>
  <si>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</si>
  <si>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</si>
  <si>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</si>
  <si>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</si>
  <si>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</si>
  <si>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</si>
  <si>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</si>
  <si>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</si>
  <si>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</si>
  <si>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</si>
  <si>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</si>
  <si>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</si>
  <si>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LO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</si>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</sst>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4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9" fontId="9" fillId="0" borderId="0" xfId="16" applyFont="1"/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19</xdr:row>
      <xdr:rowOff>17751</xdr:rowOff>
    </xdr:from>
    <xdr:to>
      <xdr:col>10</xdr:col>
      <xdr:colOff>92721</xdr:colOff>
      <xdr:row>24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256</v>
      </c>
      <c r="B1" s="173"/>
      <c r="C1" s="173"/>
      <c r="D1" s="173"/>
      <c r="V1" s="178" t="s">
        <v>257</v>
      </c>
    </row>
    <row r="2" spans="1:32" ht="15.75" thickBot="1" x14ac:dyDescent="0.3">
      <c r="A2" s="281" t="s">
        <v>142</v>
      </c>
      <c r="B2" s="282"/>
      <c r="C2" s="282"/>
      <c r="D2" s="282"/>
      <c r="E2" s="283"/>
      <c r="F2" s="281" t="s">
        <v>258</v>
      </c>
      <c r="G2" s="282"/>
      <c r="H2" s="282"/>
      <c r="I2" s="283"/>
      <c r="J2" s="287" t="s">
        <v>259</v>
      </c>
      <c r="K2" s="288"/>
      <c r="L2" s="288"/>
      <c r="M2" s="289"/>
      <c r="N2" s="281" t="s">
        <v>260</v>
      </c>
      <c r="O2" s="282"/>
      <c r="P2" s="282"/>
      <c r="Q2" s="282"/>
      <c r="R2" s="283"/>
      <c r="V2" s="179" t="s">
        <v>142</v>
      </c>
      <c r="W2" s="278" t="s">
        <v>261</v>
      </c>
      <c r="X2" s="279"/>
      <c r="Y2" s="279"/>
      <c r="Z2" s="279"/>
      <c r="AA2" s="280"/>
      <c r="AB2" s="278" t="s">
        <v>262</v>
      </c>
      <c r="AC2" s="279"/>
      <c r="AD2" s="279"/>
      <c r="AE2" s="279"/>
      <c r="AF2" s="280"/>
    </row>
    <row r="3" spans="1:32" ht="24.6" customHeight="1" thickBot="1" x14ac:dyDescent="0.3">
      <c r="A3" s="281" t="s">
        <v>263</v>
      </c>
      <c r="B3" s="282"/>
      <c r="C3" s="282"/>
      <c r="D3" s="282"/>
      <c r="E3" s="283"/>
      <c r="F3" s="180">
        <v>5</v>
      </c>
      <c r="G3" s="180" t="s">
        <v>264</v>
      </c>
      <c r="H3" s="180" t="s">
        <v>265</v>
      </c>
      <c r="I3" s="181">
        <v>10</v>
      </c>
      <c r="J3" s="182">
        <v>5</v>
      </c>
      <c r="K3" s="180" t="s">
        <v>264</v>
      </c>
      <c r="L3" s="183" t="s">
        <v>265</v>
      </c>
      <c r="M3" s="182">
        <v>10</v>
      </c>
      <c r="N3" s="180">
        <v>5</v>
      </c>
      <c r="O3" s="181" t="s">
        <v>264</v>
      </c>
      <c r="P3" s="182" t="s">
        <v>265</v>
      </c>
      <c r="Q3" s="182"/>
      <c r="R3" s="180">
        <v>10</v>
      </c>
      <c r="V3" s="184" t="s">
        <v>266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4" t="s">
        <v>267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5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268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5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5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269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5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5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270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5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6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4" t="s">
        <v>271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5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5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5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5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5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5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6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272</v>
      </c>
      <c r="C23" s="196"/>
      <c r="D23" s="196"/>
      <c r="E23" s="196" t="s">
        <v>273</v>
      </c>
      <c r="F23" s="196"/>
      <c r="G23" s="174" t="s">
        <v>274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275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276</v>
      </c>
      <c r="X25" s="6" t="s">
        <v>277</v>
      </c>
    </row>
    <row r="26" spans="1:24" s="198" customFormat="1" x14ac:dyDescent="0.25">
      <c r="A26" s="198" t="s">
        <v>278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279</v>
      </c>
    </row>
    <row r="27" spans="1:24" x14ac:dyDescent="0.25">
      <c r="A27" s="174" t="s">
        <v>280</v>
      </c>
      <c r="E27" s="174">
        <f>(E50+E52+E51)*0.2777778</f>
        <v>19062.637636122003</v>
      </c>
    </row>
    <row r="28" spans="1:24" s="200" customFormat="1" x14ac:dyDescent="0.25">
      <c r="A28" s="200" t="s">
        <v>281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282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283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284</v>
      </c>
      <c r="E31" s="202"/>
      <c r="O31" s="203">
        <f>(O26-E26)/E26</f>
        <v>-1</v>
      </c>
    </row>
    <row r="32" spans="1:24" s="204" customFormat="1" x14ac:dyDescent="0.25">
      <c r="A32" s="204" t="s">
        <v>285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286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287</v>
      </c>
    </row>
    <row r="39" spans="1:20" s="206" customFormat="1" x14ac:dyDescent="0.25">
      <c r="A39" s="206" t="s">
        <v>288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289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290</v>
      </c>
    </row>
    <row r="41" spans="1:20" s="206" customFormat="1" x14ac:dyDescent="0.25">
      <c r="A41" s="206" t="s">
        <v>291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292</v>
      </c>
    </row>
    <row r="42" spans="1:20" s="206" customFormat="1" x14ac:dyDescent="0.25">
      <c r="A42" s="206" t="s">
        <v>293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294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295</v>
      </c>
      <c r="E45" s="212">
        <f>E39/(E38+E39)</f>
        <v>0.78227062033730832</v>
      </c>
    </row>
    <row r="46" spans="1:20" x14ac:dyDescent="0.25">
      <c r="A46" s="174" t="s">
        <v>296</v>
      </c>
      <c r="E46" s="202">
        <f>E38/(E38+E39)</f>
        <v>0.21772937966269174</v>
      </c>
    </row>
    <row r="47" spans="1:20" x14ac:dyDescent="0.25">
      <c r="A47" s="206" t="s">
        <v>297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298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299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300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301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302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303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304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305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306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307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308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309</v>
      </c>
      <c r="G63" s="174" t="s">
        <v>310</v>
      </c>
      <c r="J63" s="218" t="s">
        <v>311</v>
      </c>
      <c r="O63" s="219"/>
      <c r="P63" s="219" t="s">
        <v>312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313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314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315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316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317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318</v>
      </c>
    </row>
    <row r="69" spans="1:25" s="227" customFormat="1" x14ac:dyDescent="0.25">
      <c r="A69" s="227" t="s">
        <v>319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320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321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322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323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324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325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326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327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328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329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330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331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332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333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334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335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336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337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338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339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340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341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342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343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344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345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346</v>
      </c>
    </row>
    <row r="109" spans="1:19" x14ac:dyDescent="0.25">
      <c r="A109" s="174" t="s">
        <v>347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348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302</v>
      </c>
      <c r="K1" s="245" t="s">
        <v>317</v>
      </c>
      <c r="L1" s="245" t="s">
        <v>319</v>
      </c>
      <c r="M1" s="245" t="s">
        <v>320</v>
      </c>
      <c r="N1" s="245" t="s">
        <v>321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302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317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319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320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321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349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350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351</v>
      </c>
      <c r="B1" s="20" t="s">
        <v>21</v>
      </c>
      <c r="C1" s="292" t="s">
        <v>352</v>
      </c>
      <c r="D1" s="292"/>
      <c r="E1" s="292"/>
      <c r="F1" s="292"/>
      <c r="G1" s="292" t="s">
        <v>353</v>
      </c>
      <c r="H1" s="292"/>
      <c r="I1" s="292"/>
      <c r="J1" s="292"/>
      <c r="K1" s="292" t="s">
        <v>354</v>
      </c>
      <c r="L1" s="292"/>
      <c r="M1" s="292" t="s">
        <v>355</v>
      </c>
      <c r="N1" s="292"/>
      <c r="O1" s="292" t="s">
        <v>356</v>
      </c>
      <c r="P1" s="292"/>
      <c r="Q1" s="292"/>
      <c r="R1" s="292" t="s">
        <v>356</v>
      </c>
      <c r="S1" s="292"/>
      <c r="T1" s="292"/>
      <c r="U1" s="292" t="s">
        <v>356</v>
      </c>
      <c r="V1" s="292"/>
      <c r="W1" s="292"/>
      <c r="X1" s="20" t="s">
        <v>357</v>
      </c>
      <c r="Y1" s="292" t="s">
        <v>358</v>
      </c>
      <c r="Z1" s="292"/>
      <c r="AA1" s="292"/>
    </row>
    <row r="2" spans="1:27" s="20" customFormat="1" x14ac:dyDescent="0.2">
      <c r="A2" s="20" t="s">
        <v>359</v>
      </c>
      <c r="C2" s="20" t="s">
        <v>360</v>
      </c>
      <c r="D2" s="20" t="s">
        <v>361</v>
      </c>
      <c r="E2" s="20" t="s">
        <v>362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362</v>
      </c>
      <c r="J2" s="20" t="str">
        <f>F2</f>
        <v>Currency</v>
      </c>
      <c r="K2" s="20" t="s">
        <v>360</v>
      </c>
      <c r="L2" s="20" t="s">
        <v>361</v>
      </c>
      <c r="O2" s="292" t="s">
        <v>360</v>
      </c>
      <c r="P2" s="292"/>
      <c r="Q2" s="292"/>
      <c r="R2" s="292" t="s">
        <v>363</v>
      </c>
      <c r="S2" s="292"/>
      <c r="T2" s="292"/>
      <c r="U2" s="292" t="s">
        <v>362</v>
      </c>
      <c r="V2" s="292"/>
      <c r="W2" s="292"/>
      <c r="X2" s="20" t="s">
        <v>112</v>
      </c>
      <c r="Y2" s="292" t="s">
        <v>364</v>
      </c>
      <c r="Z2" s="292"/>
      <c r="AA2" s="292"/>
    </row>
    <row r="3" spans="1:27" s="20" customFormat="1" x14ac:dyDescent="0.2">
      <c r="A3" s="20" t="s">
        <v>359</v>
      </c>
      <c r="O3" s="248" t="s">
        <v>365</v>
      </c>
      <c r="P3" s="248" t="s">
        <v>366</v>
      </c>
      <c r="Q3" s="248" t="s">
        <v>367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365</v>
      </c>
      <c r="Z3" s="20" t="s">
        <v>366</v>
      </c>
      <c r="AA3" s="20" t="s">
        <v>368</v>
      </c>
    </row>
    <row r="4" spans="1:27" x14ac:dyDescent="0.2">
      <c r="A4" s="20" t="s">
        <v>359</v>
      </c>
      <c r="B4" t="s">
        <v>369</v>
      </c>
      <c r="C4">
        <v>1093</v>
      </c>
      <c r="D4">
        <v>691</v>
      </c>
      <c r="F4" t="s">
        <v>370</v>
      </c>
      <c r="G4">
        <v>7.3999999999999996E-2</v>
      </c>
      <c r="H4">
        <v>4.2999999999999997E-2</v>
      </c>
      <c r="J4" t="s">
        <v>370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359</v>
      </c>
      <c r="B5" t="s">
        <v>371</v>
      </c>
      <c r="C5">
        <v>2330</v>
      </c>
      <c r="D5">
        <v>2267</v>
      </c>
      <c r="E5">
        <v>824</v>
      </c>
      <c r="F5" t="s">
        <v>370</v>
      </c>
      <c r="G5">
        <v>6.2E-2</v>
      </c>
      <c r="H5">
        <v>5.7000000000000002E-2</v>
      </c>
      <c r="I5">
        <v>0.06</v>
      </c>
      <c r="J5" t="s">
        <v>370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359</v>
      </c>
      <c r="B6" t="s">
        <v>140</v>
      </c>
      <c r="C6">
        <v>1333</v>
      </c>
      <c r="D6">
        <v>1041</v>
      </c>
      <c r="E6">
        <v>1834</v>
      </c>
      <c r="F6" t="s">
        <v>370</v>
      </c>
      <c r="G6">
        <v>5.0999999999999997E-2</v>
      </c>
      <c r="H6">
        <v>3.4000000000000002E-2</v>
      </c>
      <c r="I6">
        <v>5.0999999999999997E-2</v>
      </c>
      <c r="J6" t="s">
        <v>370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359</v>
      </c>
      <c r="B7" s="250" t="s">
        <v>372</v>
      </c>
      <c r="H7" s="250">
        <v>2.1000000000000001E-2</v>
      </c>
      <c r="I7" s="250"/>
      <c r="J7" t="s">
        <v>370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359</v>
      </c>
      <c r="B8" s="250" t="s">
        <v>373</v>
      </c>
      <c r="H8" s="250">
        <v>7.9000000000000001E-2</v>
      </c>
      <c r="I8" s="250"/>
      <c r="J8" t="s">
        <v>370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359</v>
      </c>
      <c r="B9" s="155" t="s">
        <v>171</v>
      </c>
      <c r="H9" s="250">
        <v>0.11899999999999999</v>
      </c>
      <c r="I9" s="250"/>
      <c r="J9" t="s">
        <v>370</v>
      </c>
    </row>
    <row r="10" spans="1:27" x14ac:dyDescent="0.2">
      <c r="A10" s="20" t="s">
        <v>359</v>
      </c>
      <c r="B10" s="155" t="s">
        <v>374</v>
      </c>
      <c r="I10">
        <v>0.1</v>
      </c>
    </row>
    <row r="11" spans="1:27" x14ac:dyDescent="0.2">
      <c r="A11" s="20" t="s">
        <v>359</v>
      </c>
      <c r="B11" s="155" t="s">
        <v>375</v>
      </c>
      <c r="I11">
        <v>0.33</v>
      </c>
    </row>
    <row r="12" spans="1:27" ht="15.75" x14ac:dyDescent="0.25">
      <c r="A12" s="20" t="s">
        <v>359</v>
      </c>
      <c r="B12" s="155" t="s">
        <v>376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359</v>
      </c>
      <c r="B13" s="155" t="s">
        <v>377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359</v>
      </c>
      <c r="B14" s="155" t="s">
        <v>378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90" t="str">
        <f t="shared" si="1"/>
        <v>Installation Cost per kW</v>
      </c>
      <c r="D17" s="290"/>
      <c r="E17" s="290"/>
      <c r="F17" s="290"/>
      <c r="G17" t="s">
        <v>379</v>
      </c>
      <c r="H17" t="s">
        <v>380</v>
      </c>
      <c r="I17" t="s">
        <v>381</v>
      </c>
      <c r="J17" t="s">
        <v>382</v>
      </c>
      <c r="K17" t="s">
        <v>383</v>
      </c>
      <c r="L17" t="s">
        <v>110</v>
      </c>
      <c r="M17" t="s">
        <v>384</v>
      </c>
      <c r="N17" t="s">
        <v>385</v>
      </c>
      <c r="O17" t="s">
        <v>386</v>
      </c>
    </row>
    <row r="18" spans="1:16" x14ac:dyDescent="0.2">
      <c r="C18" s="251"/>
      <c r="D18" s="251"/>
      <c r="E18" s="251" t="s">
        <v>387</v>
      </c>
      <c r="F18" s="251"/>
      <c r="G18" t="s">
        <v>387</v>
      </c>
      <c r="H18" t="s">
        <v>387</v>
      </c>
      <c r="I18" s="251" t="s">
        <v>388</v>
      </c>
      <c r="J18" s="251" t="s">
        <v>388</v>
      </c>
      <c r="K18" s="251" t="s">
        <v>388</v>
      </c>
      <c r="L18" s="251"/>
      <c r="M18" s="251" t="s">
        <v>112</v>
      </c>
      <c r="N18" s="251" t="s">
        <v>389</v>
      </c>
      <c r="O18" s="251" t="s">
        <v>389</v>
      </c>
      <c r="P18" s="251"/>
    </row>
    <row r="19" spans="1:16" x14ac:dyDescent="0.2">
      <c r="A19" t="s">
        <v>390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362</v>
      </c>
      <c r="I19" t="str">
        <f>I2</f>
        <v>Ethiopia</v>
      </c>
      <c r="J19" t="s">
        <v>362</v>
      </c>
      <c r="K19" t="s">
        <v>362</v>
      </c>
      <c r="L19" t="s">
        <v>362</v>
      </c>
      <c r="M19" t="s">
        <v>350</v>
      </c>
      <c r="P19">
        <f>P2</f>
        <v>0</v>
      </c>
    </row>
    <row r="20" spans="1:16" x14ac:dyDescent="0.2">
      <c r="A20" t="s">
        <v>391</v>
      </c>
      <c r="B20" t="s">
        <v>392</v>
      </c>
      <c r="E20">
        <v>2770</v>
      </c>
      <c r="F20" t="s">
        <v>387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393</v>
      </c>
      <c r="B21" t="s">
        <v>371</v>
      </c>
      <c r="E21">
        <v>2000</v>
      </c>
      <c r="F21" t="s">
        <v>387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394</v>
      </c>
      <c r="B22" t="s">
        <v>395</v>
      </c>
      <c r="E22">
        <v>2900</v>
      </c>
      <c r="F22" t="s">
        <v>387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396</v>
      </c>
      <c r="B23" t="s">
        <v>397</v>
      </c>
      <c r="E23">
        <v>1100</v>
      </c>
      <c r="F23" t="s">
        <v>387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398</v>
      </c>
      <c r="B24" t="s">
        <v>399</v>
      </c>
      <c r="E24">
        <v>1700</v>
      </c>
      <c r="F24" t="s">
        <v>387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400</v>
      </c>
      <c r="B25" t="s">
        <v>122</v>
      </c>
      <c r="E25">
        <v>3333</v>
      </c>
      <c r="F25" t="s">
        <v>387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401</v>
      </c>
      <c r="B26" t="s">
        <v>402</v>
      </c>
      <c r="E26">
        <v>5238</v>
      </c>
      <c r="F26" t="s">
        <v>387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403</v>
      </c>
      <c r="B31" t="s">
        <v>403</v>
      </c>
      <c r="C31" t="s">
        <v>404</v>
      </c>
    </row>
    <row r="32" spans="1:16" x14ac:dyDescent="0.2">
      <c r="C32" t="s">
        <v>405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390</v>
      </c>
      <c r="B34" t="s">
        <v>406</v>
      </c>
      <c r="C34">
        <f>7.66/0.0002777778</f>
        <v>27575.997793920178</v>
      </c>
    </row>
    <row r="35" spans="1:6" x14ac:dyDescent="0.2">
      <c r="A35" t="s">
        <v>390</v>
      </c>
      <c r="B35" t="s">
        <v>407</v>
      </c>
      <c r="C35">
        <f>18.8/0.0002777778</f>
        <v>67679.994585600434</v>
      </c>
    </row>
    <row r="36" spans="1:6" x14ac:dyDescent="0.2">
      <c r="A36" t="s">
        <v>408</v>
      </c>
      <c r="B36" t="s">
        <v>409</v>
      </c>
      <c r="C36">
        <f>8.121/0.0002777778</f>
        <v>29235.597661152191</v>
      </c>
    </row>
    <row r="37" spans="1:6" x14ac:dyDescent="0.2">
      <c r="A37" t="s">
        <v>410</v>
      </c>
      <c r="B37" t="s">
        <v>411</v>
      </c>
      <c r="C37">
        <f>1.263/0.0002777778</f>
        <v>4546.7996362560289</v>
      </c>
    </row>
    <row r="38" spans="1:6" x14ac:dyDescent="0.2">
      <c r="A38" t="s">
        <v>412</v>
      </c>
      <c r="B38" t="s">
        <v>293</v>
      </c>
      <c r="C38">
        <f>5.835/0.0002777778</f>
        <v>21005.998319520135</v>
      </c>
    </row>
    <row r="42" spans="1:6" x14ac:dyDescent="0.2">
      <c r="A42" s="155" t="s">
        <v>413</v>
      </c>
      <c r="B42" s="155" t="s">
        <v>414</v>
      </c>
      <c r="C42" s="291" t="s">
        <v>414</v>
      </c>
      <c r="D42" s="291"/>
      <c r="E42" s="291"/>
    </row>
    <row r="43" spans="1:6" x14ac:dyDescent="0.2">
      <c r="A43" s="155"/>
      <c r="B43" s="155" t="s">
        <v>365</v>
      </c>
      <c r="C43" s="155" t="s">
        <v>365</v>
      </c>
      <c r="D43" s="155" t="s">
        <v>366</v>
      </c>
      <c r="E43" s="155" t="s">
        <v>350</v>
      </c>
      <c r="F43" s="155" t="s">
        <v>415</v>
      </c>
    </row>
    <row r="44" spans="1:6" x14ac:dyDescent="0.2">
      <c r="A44" s="155" t="s">
        <v>416</v>
      </c>
      <c r="B44" s="155" t="s">
        <v>417</v>
      </c>
      <c r="E44">
        <v>0.35</v>
      </c>
    </row>
    <row r="45" spans="1:6" s="156" customFormat="1" x14ac:dyDescent="0.2">
      <c r="A45" s="156" t="s">
        <v>418</v>
      </c>
      <c r="B45" s="156" t="s">
        <v>419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418</v>
      </c>
      <c r="B46" s="156" t="s">
        <v>420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421</v>
      </c>
      <c r="B47" s="155" t="s">
        <v>422</v>
      </c>
      <c r="C47">
        <v>0.8</v>
      </c>
      <c r="D47">
        <v>0.85</v>
      </c>
      <c r="F47">
        <v>0.59299999999999997</v>
      </c>
    </row>
    <row r="48" spans="1:6" x14ac:dyDescent="0.2">
      <c r="A48" t="s">
        <v>423</v>
      </c>
      <c r="B48" s="155" t="s">
        <v>422</v>
      </c>
      <c r="C48">
        <v>0.8</v>
      </c>
      <c r="D48">
        <v>0.81</v>
      </c>
    </row>
    <row r="49" spans="1:6" x14ac:dyDescent="0.2">
      <c r="A49" s="252" t="s">
        <v>424</v>
      </c>
      <c r="B49" s="155" t="s">
        <v>425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424</v>
      </c>
      <c r="B50" s="155" t="s">
        <v>426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427</v>
      </c>
      <c r="B51" s="155" t="s">
        <v>428</v>
      </c>
      <c r="E51">
        <v>0.85</v>
      </c>
      <c r="F51">
        <v>0.76100000000000001</v>
      </c>
    </row>
    <row r="52" spans="1:6" x14ac:dyDescent="0.2">
      <c r="A52" t="s">
        <v>429</v>
      </c>
      <c r="B52" s="155" t="s">
        <v>430</v>
      </c>
      <c r="E52">
        <v>0.51039999999999996</v>
      </c>
    </row>
    <row r="53" spans="1:6" x14ac:dyDescent="0.2">
      <c r="A53" s="252" t="s">
        <v>431</v>
      </c>
      <c r="B53" s="155" t="s">
        <v>432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46" zoomScale="122" zoomScaleNormal="122" workbookViewId="0">
      <selection activeCell="G62" sqref="G62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5" x14ac:dyDescent="0.2">
      <c r="J49" s="113"/>
      <c r="K49" s="116"/>
    </row>
    <row r="50" spans="2:15" x14ac:dyDescent="0.2">
      <c r="J50" s="113"/>
      <c r="K50" s="116" t="s">
        <v>442</v>
      </c>
      <c r="L50" t="s">
        <v>443</v>
      </c>
    </row>
    <row r="51" spans="2:15" x14ac:dyDescent="0.2">
      <c r="C51" t="s">
        <v>433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441</v>
      </c>
      <c r="J51" s="113" t="s">
        <v>440</v>
      </c>
      <c r="K51" s="116" t="s">
        <v>310</v>
      </c>
      <c r="M51" t="s">
        <v>457</v>
      </c>
      <c r="N51" t="s">
        <v>458</v>
      </c>
      <c r="O51" t="s">
        <v>459</v>
      </c>
    </row>
    <row r="52" spans="2:15" x14ac:dyDescent="0.2">
      <c r="C52" t="s">
        <v>434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  <c r="M52" s="113">
        <f>(F52/E52-1)^1</f>
        <v>7.7668387036312181E-2</v>
      </c>
      <c r="N52" s="113">
        <f t="shared" ref="N52:O57" si="3">(G52/F52-1)^1</f>
        <v>1.6098483499282326</v>
      </c>
      <c r="O52" s="113">
        <f t="shared" si="3"/>
        <v>0.10512693775574444</v>
      </c>
    </row>
    <row r="53" spans="2:15" x14ac:dyDescent="0.2">
      <c r="C53" t="s">
        <v>435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1" si="4">G53/E53</f>
        <v>1.372765656211179</v>
      </c>
      <c r="J53" s="253">
        <f t="shared" ref="J53:J64" si="5">1/(G$51-E$51)</f>
        <v>0.5</v>
      </c>
      <c r="K53" s="263">
        <f t="shared" ref="K53:K64" si="6">(I53^J53)-1</f>
        <v>0.17165082520825248</v>
      </c>
      <c r="L53" s="113">
        <f t="shared" ref="L53:L63" si="7">(I53-1)/(G$51-E$51)</f>
        <v>0.18638282810558948</v>
      </c>
      <c r="M53" s="113">
        <f t="shared" ref="M53:M57" si="8">(F53/E53-1)^1</f>
        <v>0.35993595777792642</v>
      </c>
      <c r="N53" s="113">
        <f t="shared" si="3"/>
        <v>9.4340460371500345E-3</v>
      </c>
      <c r="O53" s="113">
        <f t="shared" si="3"/>
        <v>0</v>
      </c>
    </row>
    <row r="54" spans="2:15" s="257" customFormat="1" ht="15" x14ac:dyDescent="0.25">
      <c r="C54" s="257" t="s">
        <v>436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4"/>
        <v>1.0345078173552369</v>
      </c>
      <c r="J54" s="258">
        <f t="shared" si="5"/>
        <v>0.5</v>
      </c>
      <c r="K54" s="264">
        <f t="shared" si="6"/>
        <v>1.7107574131289605E-2</v>
      </c>
      <c r="L54" s="259">
        <f t="shared" si="7"/>
        <v>1.7253908677618446E-2</v>
      </c>
      <c r="M54" s="113">
        <f t="shared" si="8"/>
        <v>5.2949623400464496E-3</v>
      </c>
      <c r="N54" s="113">
        <f t="shared" si="3"/>
        <v>2.9058988764045113E-2</v>
      </c>
      <c r="O54" s="113">
        <f t="shared" si="3"/>
        <v>7.1715186504524242E-2</v>
      </c>
    </row>
    <row r="55" spans="2:15" s="254" customFormat="1" ht="15" x14ac:dyDescent="0.25">
      <c r="C55" s="254" t="s">
        <v>439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4"/>
        <v>1.1774614468001567</v>
      </c>
      <c r="J55" s="255">
        <f t="shared" si="5"/>
        <v>0.5</v>
      </c>
      <c r="K55" s="265">
        <f t="shared" si="6"/>
        <v>8.5108956188343576E-2</v>
      </c>
      <c r="L55" s="256">
        <f t="shared" si="7"/>
        <v>8.8730723400078371E-2</v>
      </c>
      <c r="M55" s="113">
        <f t="shared" si="8"/>
        <v>0.10399911743136059</v>
      </c>
      <c r="N55" s="113">
        <f t="shared" si="3"/>
        <v>6.6542018203527675E-2</v>
      </c>
      <c r="O55" s="113">
        <f t="shared" si="3"/>
        <v>0.20222228165192857</v>
      </c>
    </row>
    <row r="56" spans="2:15" x14ac:dyDescent="0.2">
      <c r="C56" t="s">
        <v>294</v>
      </c>
      <c r="D56" s="260">
        <f>D52+D53</f>
        <v>4447.650555555555</v>
      </c>
      <c r="E56" s="260">
        <f t="shared" ref="E56:H56" si="9">E52+E53</f>
        <v>3906.7316666666666</v>
      </c>
      <c r="F56" s="260">
        <f t="shared" si="9"/>
        <v>4859.4383333333335</v>
      </c>
      <c r="G56" s="260">
        <f t="shared" si="9"/>
        <v>7676.0611111111102</v>
      </c>
      <c r="H56" s="260">
        <f t="shared" si="9"/>
        <v>8151.0666666666657</v>
      </c>
      <c r="I56" s="253">
        <f t="shared" si="4"/>
        <v>1.9648293678845217</v>
      </c>
      <c r="J56" s="253">
        <f t="shared" si="5"/>
        <v>0.5</v>
      </c>
      <c r="K56" s="263">
        <f t="shared" si="6"/>
        <v>0.40172371310630317</v>
      </c>
      <c r="L56" s="113">
        <f t="shared" si="7"/>
        <v>0.48241468394226084</v>
      </c>
      <c r="M56" s="113">
        <f t="shared" si="8"/>
        <v>0.2438628367531428</v>
      </c>
      <c r="N56" s="113">
        <f t="shared" si="3"/>
        <v>0.57961899803463779</v>
      </c>
      <c r="O56" s="113">
        <f t="shared" si="3"/>
        <v>6.1881419217466149E-2</v>
      </c>
    </row>
    <row r="57" spans="2:15" x14ac:dyDescent="0.2">
      <c r="C57" t="s">
        <v>444</v>
      </c>
      <c r="D57" s="260">
        <f>D54+D56</f>
        <v>6980.9844444444443</v>
      </c>
      <c r="E57" s="260">
        <f t="shared" ref="E57:H57" si="10">E54+E56</f>
        <v>6424.9533333333329</v>
      </c>
      <c r="F57" s="260">
        <f t="shared" si="10"/>
        <v>7390.9938888888892</v>
      </c>
      <c r="G57" s="260">
        <f t="shared" si="10"/>
        <v>10281.181111111111</v>
      </c>
      <c r="H57" s="260">
        <f t="shared" si="10"/>
        <v>10943.013333333332</v>
      </c>
      <c r="I57" s="253">
        <f t="shared" si="4"/>
        <v>1.6001954532138409</v>
      </c>
      <c r="J57" s="253">
        <f t="shared" si="5"/>
        <v>0.5</v>
      </c>
      <c r="K57" s="263">
        <f t="shared" si="6"/>
        <v>0.26498832137448636</v>
      </c>
      <c r="L57" s="113">
        <f t="shared" si="7"/>
        <v>0.30009772660692047</v>
      </c>
      <c r="M57" s="113">
        <f t="shared" si="8"/>
        <v>0.15035759879276256</v>
      </c>
      <c r="N57" s="113">
        <f t="shared" si="3"/>
        <v>0.3910417550969878</v>
      </c>
      <c r="O57" s="113">
        <f t="shared" si="3"/>
        <v>6.4373170268050561E-2</v>
      </c>
    </row>
    <row r="58" spans="2:15" x14ac:dyDescent="0.2">
      <c r="C58" t="s">
        <v>438</v>
      </c>
      <c r="I58" s="253"/>
      <c r="J58" s="253"/>
      <c r="K58" s="263"/>
      <c r="L58" s="113"/>
      <c r="M58" s="113"/>
      <c r="N58" s="113"/>
      <c r="O58" s="113"/>
    </row>
    <row r="59" spans="2:15" x14ac:dyDescent="0.2">
      <c r="C59" t="s">
        <v>437</v>
      </c>
      <c r="I59" s="253"/>
      <c r="J59" s="253"/>
      <c r="K59" s="263"/>
      <c r="L59" s="113"/>
      <c r="M59" s="113"/>
      <c r="N59" s="113"/>
      <c r="O59" s="113"/>
    </row>
    <row r="60" spans="2:15" x14ac:dyDescent="0.2">
      <c r="C60" t="s">
        <v>445</v>
      </c>
      <c r="I60" s="253"/>
      <c r="J60" s="253"/>
      <c r="K60" s="263"/>
      <c r="L60" s="113"/>
      <c r="M60" s="113"/>
      <c r="N60" s="113"/>
      <c r="O60" s="113"/>
    </row>
    <row r="61" spans="2:15" x14ac:dyDescent="0.2">
      <c r="B61" t="s">
        <v>110</v>
      </c>
      <c r="C61" t="s">
        <v>460</v>
      </c>
      <c r="D61">
        <f>D51</f>
        <v>2019</v>
      </c>
      <c r="E61">
        <f t="shared" ref="E61:H61" si="11">E51</f>
        <v>2020</v>
      </c>
      <c r="F61">
        <f t="shared" si="11"/>
        <v>2021</v>
      </c>
      <c r="G61">
        <f t="shared" si="11"/>
        <v>2022</v>
      </c>
      <c r="H61">
        <f t="shared" si="11"/>
        <v>2023</v>
      </c>
      <c r="I61" s="253">
        <f t="shared" si="4"/>
        <v>1.000990099009901</v>
      </c>
      <c r="J61" s="253">
        <f t="shared" si="5"/>
        <v>0.5</v>
      </c>
      <c r="K61" s="263">
        <f t="shared" si="6"/>
        <v>4.9492702856879234E-4</v>
      </c>
      <c r="L61" s="113">
        <f t="shared" si="7"/>
        <v>4.9504950495049549E-4</v>
      </c>
      <c r="M61" s="113"/>
      <c r="N61" s="113"/>
      <c r="O61" s="113"/>
    </row>
    <row r="62" spans="2:15" x14ac:dyDescent="0.2">
      <c r="B62">
        <v>0.8</v>
      </c>
      <c r="C62" t="s">
        <v>451</v>
      </c>
      <c r="D62" s="260">
        <f>0.8*D54</f>
        <v>2026.6671111111111</v>
      </c>
      <c r="E62" s="260">
        <f t="shared" ref="E62:H62" si="12">0.8*E54</f>
        <v>2014.5773333333336</v>
      </c>
      <c r="F62" s="260">
        <f t="shared" si="12"/>
        <v>2025.2444444444445</v>
      </c>
      <c r="G62" s="260">
        <f t="shared" si="12"/>
        <v>2084.0960000000005</v>
      </c>
      <c r="H62" s="260">
        <f t="shared" si="12"/>
        <v>2233.5573333333336</v>
      </c>
      <c r="I62" s="253">
        <f>H62/G62</f>
        <v>1.0717151865045242</v>
      </c>
      <c r="J62" s="253">
        <f t="shared" si="5"/>
        <v>0.5</v>
      </c>
      <c r="K62" s="263">
        <f t="shared" si="6"/>
        <v>3.5236777990679924E-2</v>
      </c>
      <c r="L62" s="113">
        <f t="shared" si="7"/>
        <v>3.5857593252262121E-2</v>
      </c>
      <c r="M62" s="113">
        <f>(M54+N54+O54)/3</f>
        <v>3.5356379202871935E-2</v>
      </c>
      <c r="N62" s="113"/>
      <c r="O62" s="113"/>
    </row>
    <row r="63" spans="2:15" x14ac:dyDescent="0.2">
      <c r="B63">
        <v>1</v>
      </c>
      <c r="C63" t="s">
        <v>439</v>
      </c>
      <c r="D63" s="260">
        <f>D55*$B$63</f>
        <v>2791.0050000000001</v>
      </c>
      <c r="E63" s="260">
        <f t="shared" ref="E63:H63" si="13">E55*$B$63</f>
        <v>2430.2799722222217</v>
      </c>
      <c r="F63" s="260">
        <f t="shared" si="13"/>
        <v>2683.0269444444443</v>
      </c>
      <c r="G63" s="260">
        <f t="shared" si="13"/>
        <v>2861.5609722222221</v>
      </c>
      <c r="H63" s="260">
        <f t="shared" si="13"/>
        <v>3440.232361111111</v>
      </c>
      <c r="I63" s="253">
        <f>H63/G63</f>
        <v>1.2022222816519286</v>
      </c>
      <c r="J63" s="253">
        <f t="shared" si="5"/>
        <v>0.5</v>
      </c>
      <c r="K63" s="263">
        <f t="shared" si="6"/>
        <v>9.6458973993978736E-2</v>
      </c>
      <c r="L63" s="113">
        <f t="shared" si="7"/>
        <v>0.10111114082596429</v>
      </c>
      <c r="M63" s="113">
        <f>(M55+N55+O55)/3</f>
        <v>0.12425447242893894</v>
      </c>
      <c r="N63" s="113"/>
      <c r="O63" s="113"/>
    </row>
    <row r="64" spans="2:15" x14ac:dyDescent="0.2">
      <c r="B64">
        <v>0.55000000000000004</v>
      </c>
      <c r="C64" t="s">
        <v>452</v>
      </c>
      <c r="D64" s="260">
        <f>0.55*D56</f>
        <v>2446.2078055555553</v>
      </c>
      <c r="E64" s="260">
        <f t="shared" ref="E64:H64" si="14">0.55*E56</f>
        <v>2148.702416666667</v>
      </c>
      <c r="F64" s="260">
        <f t="shared" si="14"/>
        <v>2672.6910833333336</v>
      </c>
      <c r="G64" s="260">
        <f t="shared" si="14"/>
        <v>4221.8336111111112</v>
      </c>
      <c r="H64" s="260">
        <f t="shared" si="14"/>
        <v>4483.0866666666661</v>
      </c>
      <c r="I64" s="253">
        <f>H64/G64</f>
        <v>1.0618814192174659</v>
      </c>
      <c r="J64" s="253">
        <f t="shared" si="5"/>
        <v>0.5</v>
      </c>
      <c r="K64" s="263">
        <f t="shared" si="6"/>
        <v>3.0476306965602218E-2</v>
      </c>
      <c r="L64" s="113">
        <f>(I64-1)/(H$51-G$51)</f>
        <v>6.1881419217465927E-2</v>
      </c>
      <c r="M64" s="113">
        <f>(M56+N56+O56)/3</f>
        <v>0.29512108466841558</v>
      </c>
      <c r="N64" s="113"/>
      <c r="O64" s="113"/>
    </row>
    <row r="65" spans="2:11" x14ac:dyDescent="0.2">
      <c r="J65" s="113"/>
      <c r="K65" s="116"/>
    </row>
    <row r="66" spans="2:11" x14ac:dyDescent="0.2">
      <c r="J66" s="113"/>
      <c r="K66" s="116"/>
    </row>
    <row r="67" spans="2:11" x14ac:dyDescent="0.2">
      <c r="J67" s="113"/>
      <c r="K67" s="116"/>
    </row>
    <row r="68" spans="2:11" x14ac:dyDescent="0.2">
      <c r="J68" s="113"/>
      <c r="K68" s="116"/>
    </row>
    <row r="69" spans="2:11" x14ac:dyDescent="0.2">
      <c r="J69" s="113"/>
      <c r="K69" s="116"/>
    </row>
    <row r="71" spans="2:11" x14ac:dyDescent="0.2">
      <c r="C71" s="80" t="s">
        <v>145</v>
      </c>
      <c r="D71" s="81" t="s">
        <v>146</v>
      </c>
      <c r="E71" s="82" t="s">
        <v>147</v>
      </c>
    </row>
    <row r="72" spans="2:11" x14ac:dyDescent="0.2">
      <c r="B72" s="12" t="s">
        <v>144</v>
      </c>
      <c r="C72" s="83" t="s">
        <v>148</v>
      </c>
      <c r="D72" s="83" t="s">
        <v>149</v>
      </c>
      <c r="E72" s="84" t="s">
        <v>147</v>
      </c>
    </row>
    <row r="73" spans="2:11" x14ac:dyDescent="0.2">
      <c r="B73" s="29" t="s">
        <v>131</v>
      </c>
      <c r="C73" s="85">
        <v>1</v>
      </c>
      <c r="D73" s="86"/>
      <c r="E73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4" zoomScale="96" zoomScaleNormal="96" workbookViewId="0">
      <selection activeCell="I30" sqref="I30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245</v>
      </c>
      <c r="D4" s="1" t="s">
        <v>243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251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252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253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255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234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 t="s">
        <v>448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 t="s">
        <v>448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 t="s">
        <v>448</v>
      </c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448</v>
      </c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246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>
        <f>I25/J25</f>
        <v>297.38815164493155</v>
      </c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abSelected="1" topLeftCell="A4" zoomScale="118" zoomScaleNormal="118" workbookViewId="0">
      <selection activeCell="F20" sqref="F20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5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10" width="8.140625" style="91" customWidth="1"/>
    <col min="11" max="11" width="9.5703125" style="91" bestFit="1" customWidth="1"/>
    <col min="12" max="13" width="8.140625" style="91" customWidth="1"/>
    <col min="14" max="14" width="12.7109375" style="91" bestFit="1" customWidth="1"/>
    <col min="15" max="15" width="7.140625" style="91" customWidth="1"/>
    <col min="16" max="16" width="15.8554687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3" t="s">
        <v>82</v>
      </c>
      <c r="O5" s="93"/>
      <c r="P5" s="267" t="s">
        <v>451</v>
      </c>
      <c r="Q5" s="267" t="s">
        <v>453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247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$B$2&amp;EBF!C71</f>
        <v>MANCO2</v>
      </c>
      <c r="Q7" s="93" t="str">
        <f>$C$2&amp;" "&amp;EBF!C71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267" t="s">
        <v>82</v>
      </c>
      <c r="O8" s="93"/>
      <c r="P8" s="267" t="s">
        <v>452</v>
      </c>
      <c r="Q8" s="267" t="s">
        <v>454</v>
      </c>
      <c r="R8" s="267" t="s">
        <v>162</v>
      </c>
      <c r="S8" s="93"/>
      <c r="T8" s="93"/>
      <c r="U8" s="93"/>
      <c r="V8" s="93"/>
    </row>
    <row r="9" spans="2:22" x14ac:dyDescent="0.2">
      <c r="N9" s="267" t="s">
        <v>82</v>
      </c>
      <c r="O9" s="93"/>
      <c r="P9" s="267" t="s">
        <v>461</v>
      </c>
      <c r="Q9" s="267" t="s">
        <v>462</v>
      </c>
      <c r="R9" s="93"/>
      <c r="S9" s="93"/>
      <c r="T9" s="93"/>
      <c r="U9" s="93"/>
      <c r="V9" s="93"/>
    </row>
    <row r="10" spans="2:22" x14ac:dyDescent="0.2">
      <c r="N10" s="93"/>
      <c r="O10" s="93"/>
      <c r="P10" s="93"/>
      <c r="Q10" s="93"/>
      <c r="R10" s="93"/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447</v>
      </c>
      <c r="G13" s="98" t="s">
        <v>106</v>
      </c>
      <c r="H13" s="98" t="s">
        <v>107</v>
      </c>
      <c r="I13" s="98" t="s">
        <v>108</v>
      </c>
      <c r="J13" s="98" t="s">
        <v>449</v>
      </c>
      <c r="K13" s="98" t="s">
        <v>172</v>
      </c>
      <c r="L13" s="100" t="s">
        <v>173</v>
      </c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34.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450</v>
      </c>
      <c r="K14" s="101" t="s">
        <v>174</v>
      </c>
      <c r="L14" s="102" t="s">
        <v>175</v>
      </c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238</v>
      </c>
      <c r="F15" s="104"/>
      <c r="G15" s="104" t="s">
        <v>388</v>
      </c>
      <c r="H15" s="105" t="s">
        <v>388</v>
      </c>
      <c r="I15" s="104" t="s">
        <v>112</v>
      </c>
      <c r="J15" s="104"/>
      <c r="K15" s="104"/>
      <c r="L15" s="105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P8</f>
        <v>MANHEATCOAL</v>
      </c>
      <c r="E16" s="109">
        <f>PRI_Sector_Fuels!I23/(8.76)</f>
        <v>515.79912802191791</v>
      </c>
      <c r="F16" s="106">
        <v>0.59</v>
      </c>
      <c r="G16" s="107">
        <v>0.55000000000000004</v>
      </c>
      <c r="H16" s="107">
        <v>1</v>
      </c>
      <c r="I16" s="132">
        <v>30</v>
      </c>
      <c r="J16" s="132">
        <v>9999</v>
      </c>
      <c r="K16" s="108">
        <v>1515</v>
      </c>
      <c r="L16" s="108"/>
      <c r="M16" s="114"/>
      <c r="N16" s="91" t="s">
        <v>113</v>
      </c>
      <c r="P16" s="91" t="s">
        <v>153</v>
      </c>
      <c r="Q16" s="91" t="s">
        <v>239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>P$8</f>
        <v>MANHEATCOAL</v>
      </c>
      <c r="E17" s="109">
        <f>PRI_Sector_Fuels!I24/(8.76)</f>
        <v>360.46365770568497</v>
      </c>
      <c r="F17" s="106">
        <v>0.41</v>
      </c>
      <c r="G17" s="107">
        <v>0.55000000000000004</v>
      </c>
      <c r="H17" s="107">
        <v>1</v>
      </c>
      <c r="I17" s="132">
        <v>30</v>
      </c>
      <c r="J17" s="132">
        <v>9999</v>
      </c>
      <c r="K17" s="108">
        <v>1515</v>
      </c>
      <c r="L17" s="108"/>
      <c r="M17" s="114"/>
      <c r="N17" s="91" t="s">
        <v>113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 t="shared" ref="D18" si="0">P$5</f>
        <v>MANHEATOIL</v>
      </c>
      <c r="E18" s="109">
        <f>PRI_Sector_Fuels!I25/(8.76)</f>
        <v>297.38815164493155</v>
      </c>
      <c r="F18" s="106">
        <v>1</v>
      </c>
      <c r="G18" s="107">
        <v>0.8</v>
      </c>
      <c r="H18" s="109">
        <v>1</v>
      </c>
      <c r="I18" s="108">
        <v>30</v>
      </c>
      <c r="J18" s="132">
        <v>9999</v>
      </c>
      <c r="K18" s="108">
        <v>1212</v>
      </c>
      <c r="L18" s="108"/>
      <c r="M18" s="114"/>
      <c r="N18" s="91" t="s">
        <v>113</v>
      </c>
      <c r="P18" s="163" t="s">
        <v>167</v>
      </c>
      <c r="Q18" s="91" t="s">
        <v>244</v>
      </c>
      <c r="R18" s="91" t="s">
        <v>162</v>
      </c>
      <c r="S18" s="91" t="s">
        <v>154</v>
      </c>
      <c r="T18" s="171" t="s">
        <v>250</v>
      </c>
    </row>
    <row r="19" spans="2:22" s="159" customFormat="1" x14ac:dyDescent="0.2">
      <c r="B19" s="97" t="str">
        <f>P18</f>
        <v>MANELC</v>
      </c>
      <c r="C19" s="97" t="str">
        <f>PRI_Sector_Fuels!O8</f>
        <v>ELC</v>
      </c>
      <c r="D19" s="93" t="str">
        <f>P6</f>
        <v>MANELC</v>
      </c>
      <c r="E19" s="109">
        <f>PRI_Sector_Fuels!I26/(8.76)</f>
        <v>326.66223757386985</v>
      </c>
      <c r="F19" s="162">
        <v>1</v>
      </c>
      <c r="G19" s="159">
        <v>1</v>
      </c>
      <c r="H19" s="159">
        <v>1</v>
      </c>
      <c r="I19" s="159">
        <v>50</v>
      </c>
      <c r="J19" s="132">
        <v>9999</v>
      </c>
      <c r="K19" s="159">
        <v>1111</v>
      </c>
      <c r="N19" s="159" t="s">
        <v>113</v>
      </c>
      <c r="P19" s="159" t="s">
        <v>464</v>
      </c>
      <c r="Q19" s="159" t="s">
        <v>463</v>
      </c>
      <c r="R19" s="97" t="s">
        <v>162</v>
      </c>
      <c r="S19" s="97" t="s">
        <v>154</v>
      </c>
      <c r="T19" s="172"/>
    </row>
    <row r="20" spans="2:22" s="159" customFormat="1" x14ac:dyDescent="0.2">
      <c r="B20" s="97" t="str">
        <f>P19</f>
        <v>PHEAT</v>
      </c>
      <c r="C20" s="160" t="str">
        <f>DemTechs_INDF!D16</f>
        <v>MANHEATCOAL</v>
      </c>
      <c r="D20" s="93" t="str">
        <f>P9</f>
        <v>MANHEAT</v>
      </c>
      <c r="E20" s="161">
        <f>E16+E17</f>
        <v>876.26278572760293</v>
      </c>
      <c r="F20" s="162">
        <f>H28</f>
        <v>0.66950218634932424</v>
      </c>
      <c r="G20" s="159">
        <v>1</v>
      </c>
      <c r="H20" s="159">
        <v>1</v>
      </c>
      <c r="I20" s="159">
        <v>1</v>
      </c>
      <c r="J20" s="159">
        <v>9999</v>
      </c>
      <c r="K20" s="159">
        <v>0</v>
      </c>
      <c r="R20" s="97"/>
      <c r="S20" s="97"/>
    </row>
    <row r="21" spans="2:22" s="159" customFormat="1" x14ac:dyDescent="0.2">
      <c r="B21" s="97" t="str">
        <f>P19</f>
        <v>PHEAT</v>
      </c>
      <c r="C21" s="160" t="str">
        <f>D18</f>
        <v>MANHEATOIL</v>
      </c>
      <c r="D21" s="93" t="str">
        <f>P9</f>
        <v>MANHEAT</v>
      </c>
      <c r="E21" s="161">
        <f>E18</f>
        <v>297.38815164493155</v>
      </c>
      <c r="F21" s="162">
        <f>H27</f>
        <v>0.33049781365067582</v>
      </c>
      <c r="G21" s="159">
        <v>1</v>
      </c>
      <c r="H21" s="159">
        <v>1</v>
      </c>
      <c r="I21" s="159">
        <v>1</v>
      </c>
      <c r="J21" s="159">
        <v>9999</v>
      </c>
      <c r="K21" s="159">
        <v>0</v>
      </c>
    </row>
    <row r="22" spans="2:22" s="159" customFormat="1" x14ac:dyDescent="0.2">
      <c r="B22" s="97"/>
      <c r="C22" s="97"/>
      <c r="D22" s="93"/>
      <c r="E22" s="161"/>
      <c r="F22" s="162"/>
    </row>
    <row r="23" spans="2:22" s="159" customFormat="1" x14ac:dyDescent="0.2">
      <c r="B23" s="97"/>
      <c r="C23" s="160"/>
      <c r="D23" s="93"/>
      <c r="E23" s="161"/>
      <c r="F23" s="162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  <c r="K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  <c r="K25" s="159"/>
    </row>
    <row r="26" spans="2:22" x14ac:dyDescent="0.2">
      <c r="B26" s="163"/>
      <c r="C26" s="93"/>
      <c r="D26" s="160"/>
      <c r="E26" s="161"/>
      <c r="F26" s="162"/>
      <c r="G26" s="159">
        <v>2022</v>
      </c>
      <c r="H26" s="159">
        <v>2022</v>
      </c>
      <c r="I26" s="159"/>
      <c r="J26" s="159"/>
      <c r="K26" s="159"/>
    </row>
    <row r="27" spans="2:22" x14ac:dyDescent="0.2">
      <c r="E27" s="163" t="s">
        <v>451</v>
      </c>
      <c r="F27" s="110"/>
      <c r="G27" s="91">
        <f>E18*G18*8.76</f>
        <v>2084.0961667276806</v>
      </c>
      <c r="H27" s="293">
        <f>G27/(G27+G28)</f>
        <v>0.33049781365067582</v>
      </c>
      <c r="R27" s="93"/>
      <c r="S27" s="93"/>
      <c r="T27" s="171"/>
    </row>
    <row r="28" spans="2:22" x14ac:dyDescent="0.2">
      <c r="E28" s="163" t="s">
        <v>452</v>
      </c>
      <c r="F28" s="110"/>
      <c r="G28" s="91">
        <f>G16*E16*8.76+G17*E17*8.76</f>
        <v>4221.8341016355907</v>
      </c>
      <c r="H28" s="293">
        <f>G28/(G27+G28)</f>
        <v>0.66950218634932424</v>
      </c>
      <c r="O28" s="114"/>
      <c r="Q28" s="114"/>
      <c r="R28" s="115"/>
      <c r="S28" s="115"/>
    </row>
    <row r="29" spans="2:22" x14ac:dyDescent="0.2">
      <c r="E29" s="163" t="s">
        <v>167</v>
      </c>
      <c r="F29" s="110"/>
      <c r="G29" s="21">
        <f>E19*8.76</f>
        <v>2861.5612011470998</v>
      </c>
      <c r="H29" s="111">
        <f>G29/G29</f>
        <v>1</v>
      </c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235</v>
      </c>
      <c r="F33" s="91" t="s">
        <v>237</v>
      </c>
      <c r="H33" s="111"/>
    </row>
    <row r="35" spans="5:8" x14ac:dyDescent="0.2">
      <c r="E35" s="91" t="s">
        <v>236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1"/>
  <sheetViews>
    <sheetView topLeftCell="A8" zoomScale="226" zoomScaleNormal="226" workbookViewId="0">
      <selection activeCell="E18" sqref="E18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176</v>
      </c>
      <c r="C6" s="118" t="s">
        <v>0</v>
      </c>
      <c r="D6" s="118" t="s">
        <v>177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178</v>
      </c>
      <c r="D7" s="121" t="s">
        <v>179</v>
      </c>
      <c r="E7" s="121" t="s">
        <v>180</v>
      </c>
      <c r="F7" s="121" t="s">
        <v>180</v>
      </c>
      <c r="G7" s="121" t="s">
        <v>180</v>
      </c>
      <c r="H7" s="121" t="s">
        <v>180</v>
      </c>
      <c r="I7" s="121" t="s">
        <v>180</v>
      </c>
      <c r="J7" s="121" t="s">
        <v>180</v>
      </c>
      <c r="K7" s="121" t="s">
        <v>180</v>
      </c>
      <c r="L7" s="148"/>
      <c r="M7" s="150" t="s">
        <v>249</v>
      </c>
      <c r="N7" s="126"/>
      <c r="O7" s="118" t="s">
        <v>176</v>
      </c>
      <c r="P7" s="118" t="s">
        <v>0</v>
      </c>
      <c r="Q7" s="118" t="s">
        <v>182</v>
      </c>
      <c r="R7" s="118">
        <v>2022</v>
      </c>
    </row>
    <row r="8" spans="2:18" ht="34.5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178</v>
      </c>
      <c r="Q8" s="128"/>
      <c r="R8" s="128"/>
    </row>
    <row r="9" spans="2:18" ht="13.5" thickBot="1" x14ac:dyDescent="0.25">
      <c r="B9" s="122" t="s">
        <v>181</v>
      </c>
      <c r="C9" s="122" t="str">
        <f>DemTechs_INDF!P5</f>
        <v>MANHEATOIL</v>
      </c>
      <c r="D9" s="122" t="str">
        <f>E$2</f>
        <v>GWh</v>
      </c>
      <c r="E9" s="124">
        <f>EBF!G62</f>
        <v>2084.0960000000005</v>
      </c>
      <c r="F9" s="124">
        <f>E9*(1+$M$9)^(F6-E6)</f>
        <v>2565.404631982668</v>
      </c>
      <c r="G9" s="124">
        <f t="shared" ref="G9:K9" si="0">F9*(1+$M$9)^(G6-F6)</f>
        <v>3627.0437880490881</v>
      </c>
      <c r="H9" s="124">
        <f t="shared" si="0"/>
        <v>5128.0201479399047</v>
      </c>
      <c r="I9" s="124">
        <f t="shared" si="0"/>
        <v>7250.1442426263065</v>
      </c>
      <c r="J9" s="124">
        <f t="shared" si="0"/>
        <v>10250.465096164708</v>
      </c>
      <c r="K9" s="124">
        <f t="shared" si="0"/>
        <v>14492.406105513488</v>
      </c>
      <c r="M9" s="152">
        <f>EBF!O54</f>
        <v>7.1715186504524242E-2</v>
      </c>
      <c r="O9" s="9" t="s">
        <v>87</v>
      </c>
      <c r="P9" s="9"/>
      <c r="Q9" s="9"/>
      <c r="R9" s="9"/>
    </row>
    <row r="10" spans="2:18" ht="13.5" thickBot="1" x14ac:dyDescent="0.25">
      <c r="B10" s="122" t="s">
        <v>181</v>
      </c>
      <c r="C10" s="122" t="str">
        <f>DemTechs_INDF!P6</f>
        <v>MANELC</v>
      </c>
      <c r="D10" s="122" t="str">
        <f>E$2</f>
        <v>GWh</v>
      </c>
      <c r="E10" s="124">
        <f>EBF!G63</f>
        <v>2861.5609722222221</v>
      </c>
      <c r="F10" s="124">
        <f>E10*(1+$M$10)^(F6-E6)</f>
        <v>4972.2999863211944</v>
      </c>
      <c r="G10" s="124">
        <f t="shared" ref="G10:K10" si="1">F10*(1+$M$10)^(G6-F6)</f>
        <v>12487.663469579884</v>
      </c>
      <c r="H10" s="124">
        <f t="shared" si="1"/>
        <v>31362.093871744641</v>
      </c>
      <c r="I10" s="124">
        <f t="shared" si="1"/>
        <v>78764.208726167155</v>
      </c>
      <c r="J10" s="124">
        <f t="shared" si="1"/>
        <v>197812.06578966585</v>
      </c>
      <c r="K10" s="124">
        <f t="shared" si="1"/>
        <v>496794.34358331078</v>
      </c>
      <c r="M10" s="153">
        <f>EBF!O55</f>
        <v>0.20222228165192857</v>
      </c>
      <c r="O10" s="1" t="s">
        <v>183</v>
      </c>
      <c r="P10" s="1" t="str">
        <f>DemTechs_INDF!P$6</f>
        <v>MANELC</v>
      </c>
      <c r="Q10" s="91" t="s">
        <v>184</v>
      </c>
      <c r="R10" s="129">
        <v>0.75</v>
      </c>
    </row>
    <row r="11" spans="2:18" ht="13.5" thickBot="1" x14ac:dyDescent="0.25">
      <c r="B11" s="141" t="s">
        <v>181</v>
      </c>
      <c r="C11" s="122" t="str">
        <f>DemTechs_INDF!P8</f>
        <v>MANHEATCOAL</v>
      </c>
      <c r="D11" s="122" t="str">
        <f>E$2</f>
        <v>GWh</v>
      </c>
      <c r="E11" s="124">
        <f>EBF!G64</f>
        <v>4221.8336111111112</v>
      </c>
      <c r="F11" s="124">
        <f t="shared" ref="F11:K11" si="2">E11*(1+$M$11)^(F6-E6)</f>
        <v>5055.0933262855706</v>
      </c>
      <c r="G11" s="124">
        <f t="shared" si="2"/>
        <v>6825.104193942886</v>
      </c>
      <c r="H11" s="124">
        <f t="shared" si="2"/>
        <v>9214.8738413905339</v>
      </c>
      <c r="I11" s="124">
        <f t="shared" si="2"/>
        <v>12441.407119923906</v>
      </c>
      <c r="J11" s="124">
        <f t="shared" si="2"/>
        <v>16797.691839081708</v>
      </c>
      <c r="K11" s="124">
        <f t="shared" si="2"/>
        <v>22679.303747635739</v>
      </c>
      <c r="M11" s="153">
        <f>EBF!O56</f>
        <v>6.1881419217466149E-2</v>
      </c>
      <c r="O11" s="1"/>
      <c r="P11" s="1"/>
      <c r="Q11" s="91"/>
      <c r="R11" s="129"/>
    </row>
    <row r="12" spans="2:18" ht="13.5" thickBot="1" x14ac:dyDescent="0.25">
      <c r="B12" s="122"/>
      <c r="C12" s="122"/>
      <c r="D12" s="122"/>
      <c r="E12" s="124"/>
      <c r="F12" s="124"/>
      <c r="K12" s="5"/>
      <c r="M12" s="151"/>
      <c r="O12" s="1" t="s">
        <v>183</v>
      </c>
      <c r="P12" s="1" t="str">
        <f>DemTechs_INDF!P$6</f>
        <v>MANELC</v>
      </c>
      <c r="Q12" s="91" t="s">
        <v>185</v>
      </c>
      <c r="R12" s="129">
        <v>0.25</v>
      </c>
    </row>
    <row r="13" spans="2:18" x14ac:dyDescent="0.2">
      <c r="B13" s="122"/>
      <c r="C13" s="122"/>
      <c r="D13" s="141" t="s">
        <v>248</v>
      </c>
      <c r="E13" s="266">
        <f>E10/(SUM(E9:E11))</f>
        <v>0.31214223196744728</v>
      </c>
      <c r="F13" s="266">
        <f t="shared" ref="F13:K13" si="3">F10/(SUM(F9:F11))</f>
        <v>0.39485267755428183</v>
      </c>
      <c r="G13" s="266">
        <f t="shared" si="3"/>
        <v>0.5443664389283468</v>
      </c>
      <c r="H13" s="266">
        <f t="shared" si="3"/>
        <v>0.68618536705606159</v>
      </c>
      <c r="I13" s="266">
        <f t="shared" si="3"/>
        <v>0.79999594391626871</v>
      </c>
      <c r="J13" s="266">
        <f t="shared" si="3"/>
        <v>0.87971124191077421</v>
      </c>
      <c r="K13" s="266">
        <f t="shared" si="3"/>
        <v>0.93038563104541538</v>
      </c>
      <c r="M13" s="151"/>
      <c r="N13" s="5"/>
      <c r="O13" s="1" t="s">
        <v>183</v>
      </c>
      <c r="P13" s="1" t="str">
        <f>DemTechs_INDF!P$6</f>
        <v>MANELC</v>
      </c>
      <c r="Q13" s="91" t="s">
        <v>186</v>
      </c>
      <c r="R13" s="129">
        <v>1.0416666666666666E-2</v>
      </c>
    </row>
    <row r="14" spans="2:18" x14ac:dyDescent="0.2">
      <c r="B14" s="1"/>
      <c r="D14" t="s">
        <v>456</v>
      </c>
      <c r="E14" s="266">
        <f>E9/(E9+E10+E11)</f>
        <v>0.22733549394519426</v>
      </c>
      <c r="F14" s="266">
        <f t="shared" ref="F14:K14" si="4">F9/(F9+F10+F11)</f>
        <v>0.20371998687431561</v>
      </c>
      <c r="G14" s="266">
        <f t="shared" si="4"/>
        <v>0.15811131646422313</v>
      </c>
      <c r="H14" s="266">
        <f t="shared" si="4"/>
        <v>0.11219826080092264</v>
      </c>
      <c r="I14" s="266">
        <f t="shared" si="4"/>
        <v>7.3638599063104923E-2</v>
      </c>
      <c r="J14" s="266">
        <f t="shared" si="4"/>
        <v>4.5585942110823403E-2</v>
      </c>
      <c r="K14" s="266">
        <f t="shared" si="4"/>
        <v>2.7141062642923295E-2</v>
      </c>
      <c r="M14" s="151"/>
      <c r="O14" s="1" t="s">
        <v>183</v>
      </c>
      <c r="P14" s="1" t="str">
        <f>DemTechs_INDF!P$6</f>
        <v>MANELC</v>
      </c>
      <c r="Q14" s="130" t="s">
        <v>187</v>
      </c>
      <c r="R14" s="131">
        <v>1.0416666666666666E-2</v>
      </c>
    </row>
    <row r="15" spans="2:18" x14ac:dyDescent="0.2">
      <c r="D15" t="s">
        <v>455</v>
      </c>
      <c r="E15" s="266">
        <f>E11/(E9+E10+E11)</f>
        <v>0.46052227408735841</v>
      </c>
      <c r="F15" s="266">
        <f t="shared" ref="F15:K15" si="5">F11/(F9+F10+F11)</f>
        <v>0.40142733557140259</v>
      </c>
      <c r="G15" s="266">
        <f t="shared" si="5"/>
        <v>0.29752224460742999</v>
      </c>
      <c r="H15" s="266">
        <f t="shared" si="5"/>
        <v>0.20161637214301584</v>
      </c>
      <c r="I15" s="266">
        <f t="shared" si="5"/>
        <v>0.12636545702062627</v>
      </c>
      <c r="J15" s="266">
        <f t="shared" si="5"/>
        <v>7.4702815978402448E-2</v>
      </c>
      <c r="K15" s="266">
        <f t="shared" si="5"/>
        <v>4.2473306311661428E-2</v>
      </c>
      <c r="O15" s="1" t="s">
        <v>183</v>
      </c>
      <c r="P15" s="1" t="str">
        <f>DemTechs_INDF!P$6</f>
        <v>MANELC</v>
      </c>
      <c r="Q15" t="s">
        <v>188</v>
      </c>
      <c r="R15" s="129">
        <v>1.0416666666666666E-2</v>
      </c>
    </row>
    <row r="16" spans="2:18" x14ac:dyDescent="0.2">
      <c r="E16" s="277">
        <f>SUM(E13:E15)</f>
        <v>1</v>
      </c>
      <c r="F16" s="277">
        <f t="shared" ref="F16:K16" si="6">SUM(F13:F15)</f>
        <v>1</v>
      </c>
      <c r="G16" s="277">
        <f t="shared" si="6"/>
        <v>1</v>
      </c>
      <c r="H16" s="277">
        <f t="shared" si="6"/>
        <v>1</v>
      </c>
      <c r="I16" s="277">
        <f t="shared" si="6"/>
        <v>0.99999999999999989</v>
      </c>
      <c r="J16" s="277">
        <f t="shared" si="6"/>
        <v>1</v>
      </c>
      <c r="K16" s="277">
        <f t="shared" si="6"/>
        <v>1</v>
      </c>
      <c r="O16" s="1" t="s">
        <v>183</v>
      </c>
      <c r="P16" s="1" t="str">
        <f>DemTechs_INDF!P$6</f>
        <v>MANELC</v>
      </c>
      <c r="Q16" t="s">
        <v>189</v>
      </c>
      <c r="R16" s="129">
        <v>1.0416666666666666E-2</v>
      </c>
    </row>
    <row r="17" spans="2:18" x14ac:dyDescent="0.2">
      <c r="E17" s="5"/>
      <c r="O17" s="1" t="s">
        <v>183</v>
      </c>
      <c r="P17" s="1" t="str">
        <f>DemTechs_INDF!P$6</f>
        <v>MANELC</v>
      </c>
      <c r="Q17" t="s">
        <v>190</v>
      </c>
      <c r="R17" s="129">
        <v>1.0416666666666666E-2</v>
      </c>
    </row>
    <row r="18" spans="2:18" x14ac:dyDescent="0.2">
      <c r="E18" s="113"/>
      <c r="O18" s="1" t="s">
        <v>183</v>
      </c>
      <c r="P18" s="1" t="str">
        <f>DemTechs_INDF!P$6</f>
        <v>MANELC</v>
      </c>
      <c r="Q18" t="s">
        <v>191</v>
      </c>
      <c r="R18" s="131">
        <v>1.0416666666666666E-2</v>
      </c>
    </row>
    <row r="19" spans="2:18" x14ac:dyDescent="0.2">
      <c r="O19" s="1" t="s">
        <v>183</v>
      </c>
      <c r="P19" s="1" t="str">
        <f>DemTechs_INDF!P$6</f>
        <v>MANELC</v>
      </c>
      <c r="Q19" t="s">
        <v>192</v>
      </c>
      <c r="R19" s="129">
        <v>1.0416666666666666E-2</v>
      </c>
    </row>
    <row r="20" spans="2:18" x14ac:dyDescent="0.2">
      <c r="B20" s="1"/>
      <c r="E20" s="5">
        <f>EBF!J19</f>
        <v>150.60848427090019</v>
      </c>
      <c r="O20" s="1" t="s">
        <v>183</v>
      </c>
      <c r="P20" s="1" t="str">
        <f>DemTechs_INDF!P$6</f>
        <v>MANELC</v>
      </c>
      <c r="Q20" t="s">
        <v>193</v>
      </c>
      <c r="R20" s="129">
        <v>1.0416666666666666E-2</v>
      </c>
    </row>
    <row r="21" spans="2:18" x14ac:dyDescent="0.2">
      <c r="B21" s="1"/>
      <c r="E21" s="5">
        <f>EBF!E19</f>
        <v>8781.4640358504003</v>
      </c>
      <c r="O21" s="1" t="s">
        <v>183</v>
      </c>
      <c r="P21" s="1" t="str">
        <f>DemTechs_INDF!P$6</f>
        <v>MANELC</v>
      </c>
      <c r="Q21" t="s">
        <v>194</v>
      </c>
      <c r="R21" s="129">
        <v>1.0416666666666666E-2</v>
      </c>
    </row>
    <row r="22" spans="2:18" x14ac:dyDescent="0.2">
      <c r="O22" s="1" t="s">
        <v>183</v>
      </c>
      <c r="P22" s="1" t="str">
        <f>DemTechs_INDF!P$6</f>
        <v>MANELC</v>
      </c>
      <c r="Q22" t="s">
        <v>195</v>
      </c>
      <c r="R22" s="131">
        <v>1.0416666666666666E-2</v>
      </c>
    </row>
    <row r="23" spans="2:18" x14ac:dyDescent="0.2">
      <c r="B23" s="123"/>
      <c r="C23" s="1" t="s">
        <v>98</v>
      </c>
      <c r="O23" s="1" t="s">
        <v>183</v>
      </c>
      <c r="P23" s="1" t="str">
        <f>DemTechs_INDF!P$6</f>
        <v>MANELC</v>
      </c>
      <c r="Q23" t="s">
        <v>196</v>
      </c>
      <c r="R23" s="129">
        <v>1.0416666666666666E-2</v>
      </c>
    </row>
    <row r="24" spans="2:18" x14ac:dyDescent="0.2">
      <c r="B24" s="47"/>
      <c r="C24" s="1" t="s">
        <v>99</v>
      </c>
      <c r="O24" s="1" t="s">
        <v>183</v>
      </c>
      <c r="P24" s="1" t="str">
        <f>DemTechs_INDF!P$6</f>
        <v>MANELC</v>
      </c>
      <c r="Q24" t="s">
        <v>197</v>
      </c>
      <c r="R24" s="129">
        <v>1.0416666666666666E-2</v>
      </c>
    </row>
    <row r="25" spans="2:18" x14ac:dyDescent="0.2">
      <c r="O25" s="1" t="s">
        <v>183</v>
      </c>
      <c r="P25" s="1" t="str">
        <f>DemTechs_INDF!P$6</f>
        <v>MANELC</v>
      </c>
      <c r="Q25" t="s">
        <v>198</v>
      </c>
      <c r="R25" s="129">
        <v>1.0416666666666666E-2</v>
      </c>
    </row>
    <row r="26" spans="2:18" x14ac:dyDescent="0.2">
      <c r="O26" s="1" t="s">
        <v>183</v>
      </c>
      <c r="P26" s="1" t="str">
        <f>DemTechs_INDF!P$6</f>
        <v>MANELC</v>
      </c>
      <c r="Q26" t="s">
        <v>199</v>
      </c>
      <c r="R26" s="131">
        <v>1.0416666666666666E-2</v>
      </c>
    </row>
    <row r="27" spans="2:18" x14ac:dyDescent="0.2">
      <c r="O27" s="1" t="s">
        <v>183</v>
      </c>
      <c r="P27" s="1" t="str">
        <f>DemTechs_INDF!P$6</f>
        <v>MANELC</v>
      </c>
      <c r="Q27" t="s">
        <v>200</v>
      </c>
      <c r="R27" s="129">
        <v>1.0416666666666666E-2</v>
      </c>
    </row>
    <row r="28" spans="2:18" x14ac:dyDescent="0.2">
      <c r="O28" s="1" t="s">
        <v>183</v>
      </c>
      <c r="P28" s="1" t="str">
        <f>DemTechs_INDF!P$6</f>
        <v>MANELC</v>
      </c>
      <c r="Q28" t="s">
        <v>201</v>
      </c>
      <c r="R28" s="129">
        <v>1.0416666666666666E-2</v>
      </c>
    </row>
    <row r="29" spans="2:18" x14ac:dyDescent="0.2">
      <c r="O29" s="1" t="s">
        <v>183</v>
      </c>
      <c r="P29" s="1" t="str">
        <f>DemTechs_INDF!P$6</f>
        <v>MANELC</v>
      </c>
      <c r="Q29" t="s">
        <v>202</v>
      </c>
      <c r="R29" s="129">
        <v>1.0416666666666666E-2</v>
      </c>
    </row>
    <row r="30" spans="2:18" x14ac:dyDescent="0.2">
      <c r="O30" s="1" t="s">
        <v>183</v>
      </c>
      <c r="P30" s="1" t="str">
        <f>DemTechs_INDF!P$6</f>
        <v>MANELC</v>
      </c>
      <c r="Q30" t="s">
        <v>203</v>
      </c>
      <c r="R30" s="131">
        <v>1.0416666666666666E-2</v>
      </c>
    </row>
    <row r="31" spans="2:18" x14ac:dyDescent="0.2">
      <c r="O31" s="1" t="s">
        <v>183</v>
      </c>
      <c r="P31" s="1" t="str">
        <f>DemTechs_INDF!P$6</f>
        <v>MANELC</v>
      </c>
      <c r="Q31" t="s">
        <v>204</v>
      </c>
      <c r="R31" s="129">
        <v>1.0416666666666666E-2</v>
      </c>
    </row>
    <row r="32" spans="2:18" x14ac:dyDescent="0.2">
      <c r="O32" s="1" t="s">
        <v>183</v>
      </c>
      <c r="P32" s="1" t="str">
        <f>DemTechs_INDF!P$6</f>
        <v>MANELC</v>
      </c>
      <c r="Q32" t="s">
        <v>205</v>
      </c>
      <c r="R32" s="129">
        <v>1.0416666666666666E-2</v>
      </c>
    </row>
    <row r="33" spans="15:18" x14ac:dyDescent="0.2">
      <c r="O33" s="1" t="s">
        <v>183</v>
      </c>
      <c r="P33" s="1" t="str">
        <f>DemTechs_INDF!P$6</f>
        <v>MANELC</v>
      </c>
      <c r="Q33" t="s">
        <v>206</v>
      </c>
      <c r="R33" s="129">
        <v>1.0416666666666666E-2</v>
      </c>
    </row>
    <row r="34" spans="15:18" x14ac:dyDescent="0.2">
      <c r="O34" s="1" t="s">
        <v>183</v>
      </c>
      <c r="P34" s="1" t="str">
        <f>DemTechs_INDF!P$6</f>
        <v>MANELC</v>
      </c>
      <c r="Q34" t="s">
        <v>207</v>
      </c>
      <c r="R34" s="131">
        <v>1.0416666666666666E-2</v>
      </c>
    </row>
    <row r="35" spans="15:18" x14ac:dyDescent="0.2">
      <c r="O35" s="1" t="s">
        <v>183</v>
      </c>
      <c r="P35" s="1" t="str">
        <f>DemTechs_INDF!P$6</f>
        <v>MANELC</v>
      </c>
      <c r="Q35" t="s">
        <v>208</v>
      </c>
      <c r="R35" s="129">
        <v>1.0416666666666666E-2</v>
      </c>
    </row>
    <row r="36" spans="15:18" x14ac:dyDescent="0.2">
      <c r="O36" s="1" t="s">
        <v>183</v>
      </c>
      <c r="P36" s="1" t="str">
        <f>DemTechs_INDF!P$6</f>
        <v>MANELC</v>
      </c>
      <c r="Q36" t="s">
        <v>209</v>
      </c>
      <c r="R36" s="129">
        <v>1.0416666666666666E-2</v>
      </c>
    </row>
    <row r="37" spans="15:18" x14ac:dyDescent="0.2">
      <c r="O37" s="1" t="s">
        <v>183</v>
      </c>
      <c r="P37" s="1" t="str">
        <f>DemTechs_INDF!P$6</f>
        <v>MANELC</v>
      </c>
      <c r="Q37" t="s">
        <v>210</v>
      </c>
      <c r="R37" s="129">
        <v>3.125E-2</v>
      </c>
    </row>
    <row r="38" spans="15:18" x14ac:dyDescent="0.2">
      <c r="O38" s="1" t="s">
        <v>183</v>
      </c>
      <c r="P38" s="1" t="str">
        <f>DemTechs_INDF!P$6</f>
        <v>MANELC</v>
      </c>
      <c r="Q38" t="s">
        <v>211</v>
      </c>
      <c r="R38" s="131">
        <v>3.125E-2</v>
      </c>
    </row>
    <row r="39" spans="15:18" x14ac:dyDescent="0.2">
      <c r="O39" s="1" t="s">
        <v>183</v>
      </c>
      <c r="P39" s="1" t="str">
        <f>DemTechs_INDF!P$6</f>
        <v>MANELC</v>
      </c>
      <c r="Q39" t="s">
        <v>212</v>
      </c>
      <c r="R39" s="129">
        <v>3.125E-2</v>
      </c>
    </row>
    <row r="40" spans="15:18" x14ac:dyDescent="0.2">
      <c r="O40" s="1" t="s">
        <v>183</v>
      </c>
      <c r="P40" s="1" t="str">
        <f>DemTechs_INDF!P$6</f>
        <v>MANELC</v>
      </c>
      <c r="Q40" t="s">
        <v>213</v>
      </c>
      <c r="R40" s="129">
        <v>3.125E-2</v>
      </c>
    </row>
    <row r="41" spans="15:18" x14ac:dyDescent="0.2">
      <c r="O41" s="1" t="s">
        <v>183</v>
      </c>
      <c r="P41" s="1" t="str">
        <f>DemTechs_INDF!P$6</f>
        <v>MANELC</v>
      </c>
      <c r="Q41" t="s">
        <v>214</v>
      </c>
      <c r="R41" s="129">
        <v>3.125E-2</v>
      </c>
    </row>
    <row r="42" spans="15:18" x14ac:dyDescent="0.2">
      <c r="O42" s="1" t="s">
        <v>183</v>
      </c>
      <c r="P42" s="1" t="str">
        <f>DemTechs_INDF!P$6</f>
        <v>MANELC</v>
      </c>
      <c r="Q42" t="s">
        <v>215</v>
      </c>
      <c r="R42" s="131">
        <v>3.125E-2</v>
      </c>
    </row>
    <row r="43" spans="15:18" x14ac:dyDescent="0.2">
      <c r="O43" s="1" t="s">
        <v>183</v>
      </c>
      <c r="P43" s="1" t="str">
        <f>DemTechs_INDF!P$6</f>
        <v>MANELC</v>
      </c>
      <c r="Q43" t="s">
        <v>216</v>
      </c>
      <c r="R43" s="129">
        <v>3.125E-2</v>
      </c>
    </row>
    <row r="44" spans="15:18" x14ac:dyDescent="0.2">
      <c r="O44" s="1" t="s">
        <v>183</v>
      </c>
      <c r="P44" s="1" t="str">
        <f>DemTechs_INDF!P$6</f>
        <v>MANELC</v>
      </c>
      <c r="Q44" t="s">
        <v>217</v>
      </c>
      <c r="R44" s="129">
        <v>3.125E-2</v>
      </c>
    </row>
    <row r="45" spans="15:18" x14ac:dyDescent="0.2">
      <c r="O45" s="1" t="s">
        <v>183</v>
      </c>
      <c r="P45" s="1" t="str">
        <f>DemTechs_INDF!P$6</f>
        <v>MANELC</v>
      </c>
      <c r="Q45" t="s">
        <v>218</v>
      </c>
      <c r="R45" s="129">
        <v>3.125E-2</v>
      </c>
    </row>
    <row r="46" spans="15:18" x14ac:dyDescent="0.2">
      <c r="O46" s="1" t="s">
        <v>183</v>
      </c>
      <c r="P46" s="1" t="str">
        <f>DemTechs_INDF!P$6</f>
        <v>MANELC</v>
      </c>
      <c r="Q46" t="s">
        <v>219</v>
      </c>
      <c r="R46" s="131">
        <v>3.125E-2</v>
      </c>
    </row>
    <row r="47" spans="15:18" x14ac:dyDescent="0.2">
      <c r="O47" s="1" t="s">
        <v>183</v>
      </c>
      <c r="P47" s="1" t="str">
        <f>DemTechs_INDF!P$6</f>
        <v>MANELC</v>
      </c>
      <c r="Q47" t="s">
        <v>220</v>
      </c>
      <c r="R47" s="129">
        <v>3.125E-2</v>
      </c>
    </row>
    <row r="48" spans="15:18" x14ac:dyDescent="0.2">
      <c r="O48" s="1" t="s">
        <v>183</v>
      </c>
      <c r="P48" s="1" t="str">
        <f>DemTechs_INDF!P$6</f>
        <v>MANELC</v>
      </c>
      <c r="Q48" t="s">
        <v>221</v>
      </c>
      <c r="R48" s="129">
        <v>3.125E-2</v>
      </c>
    </row>
    <row r="49" spans="15:18" x14ac:dyDescent="0.2">
      <c r="O49" s="1" t="s">
        <v>183</v>
      </c>
      <c r="P49" s="1" t="str">
        <f>DemTechs_INDF!P$6</f>
        <v>MANELC</v>
      </c>
      <c r="Q49" t="s">
        <v>222</v>
      </c>
      <c r="R49" s="129">
        <v>3.125E-2</v>
      </c>
    </row>
    <row r="50" spans="15:18" x14ac:dyDescent="0.2">
      <c r="O50" s="1" t="s">
        <v>183</v>
      </c>
      <c r="P50" s="1" t="str">
        <f>DemTechs_INDF!P$6</f>
        <v>MANELC</v>
      </c>
      <c r="Q50" t="s">
        <v>223</v>
      </c>
      <c r="R50" s="131">
        <v>3.125E-2</v>
      </c>
    </row>
    <row r="51" spans="15:18" x14ac:dyDescent="0.2">
      <c r="O51" s="1" t="s">
        <v>183</v>
      </c>
      <c r="P51" s="1" t="str">
        <f>DemTechs_INDF!P$6</f>
        <v>MANELC</v>
      </c>
      <c r="Q51" t="s">
        <v>224</v>
      </c>
      <c r="R51" s="129">
        <v>3.125E-2</v>
      </c>
    </row>
    <row r="52" spans="15:18" x14ac:dyDescent="0.2">
      <c r="O52" s="1" t="s">
        <v>183</v>
      </c>
      <c r="P52" s="1" t="str">
        <f>DemTechs_INDF!P$6</f>
        <v>MANELC</v>
      </c>
      <c r="Q52" t="s">
        <v>225</v>
      </c>
      <c r="R52" s="129">
        <v>3.125E-2</v>
      </c>
    </row>
    <row r="53" spans="15:18" x14ac:dyDescent="0.2">
      <c r="O53" s="1" t="s">
        <v>183</v>
      </c>
      <c r="P53" s="1" t="str">
        <f>DemTechs_INDF!P$6</f>
        <v>MANELC</v>
      </c>
      <c r="Q53" t="s">
        <v>226</v>
      </c>
      <c r="R53" s="129">
        <v>3.125E-2</v>
      </c>
    </row>
    <row r="54" spans="15:18" x14ac:dyDescent="0.2">
      <c r="O54" s="1" t="s">
        <v>183</v>
      </c>
      <c r="P54" s="1" t="str">
        <f>DemTechs_INDF!P$6</f>
        <v>MANELC</v>
      </c>
      <c r="Q54" t="s">
        <v>227</v>
      </c>
      <c r="R54" s="131">
        <v>3.125E-2</v>
      </c>
    </row>
    <row r="55" spans="15:18" x14ac:dyDescent="0.2">
      <c r="O55" s="1" t="s">
        <v>183</v>
      </c>
      <c r="P55" s="1" t="str">
        <f>DemTechs_INDF!P$6</f>
        <v>MANELC</v>
      </c>
      <c r="Q55" t="s">
        <v>228</v>
      </c>
      <c r="R55" s="129">
        <v>3.125E-2</v>
      </c>
    </row>
    <row r="56" spans="15:18" x14ac:dyDescent="0.2">
      <c r="O56" s="1" t="s">
        <v>183</v>
      </c>
      <c r="P56" s="1" t="str">
        <f>DemTechs_INDF!P$6</f>
        <v>MANELC</v>
      </c>
      <c r="Q56" t="s">
        <v>229</v>
      </c>
      <c r="R56" s="129">
        <v>3.125E-2</v>
      </c>
    </row>
    <row r="57" spans="15:18" x14ac:dyDescent="0.2">
      <c r="O57" s="1" t="s">
        <v>183</v>
      </c>
      <c r="P57" s="1" t="str">
        <f>DemTechs_INDF!P$6</f>
        <v>MANELC</v>
      </c>
      <c r="Q57" t="s">
        <v>230</v>
      </c>
      <c r="R57" s="129">
        <v>3.125E-2</v>
      </c>
    </row>
    <row r="58" spans="15:18" x14ac:dyDescent="0.2">
      <c r="O58" s="1" t="s">
        <v>183</v>
      </c>
      <c r="P58" s="1" t="str">
        <f>DemTechs_INDF!P$6</f>
        <v>MANELC</v>
      </c>
      <c r="Q58" t="s">
        <v>231</v>
      </c>
      <c r="R58" s="131">
        <v>3.125E-2</v>
      </c>
    </row>
    <row r="59" spans="15:18" x14ac:dyDescent="0.2">
      <c r="O59" s="1" t="s">
        <v>183</v>
      </c>
      <c r="P59" s="1" t="str">
        <f>DemTechs_INDF!P$6</f>
        <v>MANELC</v>
      </c>
      <c r="Q59" t="s">
        <v>232</v>
      </c>
      <c r="R59" s="129">
        <v>3.125E-2</v>
      </c>
    </row>
    <row r="60" spans="15:18" x14ac:dyDescent="0.2">
      <c r="O60" s="1" t="s">
        <v>183</v>
      </c>
      <c r="P60" s="1" t="str">
        <f>DemTechs_INDF!P$6</f>
        <v>MANELC</v>
      </c>
      <c r="Q60" t="s">
        <v>233</v>
      </c>
      <c r="R60" s="129">
        <v>3.125E-2</v>
      </c>
    </row>
    <row r="61" spans="15:18" x14ac:dyDescent="0.2">
      <c r="O61" s="1" t="s">
        <v>183</v>
      </c>
      <c r="P61" s="155" t="s">
        <v>167</v>
      </c>
      <c r="Q61" s="155" t="s">
        <v>446</v>
      </c>
      <c r="R61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240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241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242</v>
      </c>
      <c r="D7" s="138" t="s">
        <v>242</v>
      </c>
      <c r="E7" s="138" t="s">
        <v>242</v>
      </c>
      <c r="F7" s="138" t="s">
        <v>242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2025-11-08T09:31:44Z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