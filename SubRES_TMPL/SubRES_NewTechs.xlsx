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28" documentId="13_ncr:1_{6D3A0943-88C3-41D5-9314-027B30424CB6}" xr6:coauthVersionLast="47" xr6:coauthVersionMax="47" xr10:uidLastSave="{27C70C1D-2025-4F7C-80FA-DFDABA91DA9F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7" l="1"/>
  <c r="D19" i="7"/>
  <c r="D25" i="7"/>
  <c r="D24" i="7"/>
  <c r="B30" i="7"/>
  <c r="B31" i="7"/>
  <c r="B29" i="7"/>
  <c r="B28" i="7"/>
  <c r="B27" i="7"/>
  <c r="C23" i="7"/>
  <c r="D26" i="7"/>
  <c r="D22" i="7"/>
  <c r="D21" i="7"/>
  <c r="D20" i="7"/>
  <c r="B27" i="6"/>
  <c r="B26" i="7"/>
  <c r="B25" i="7"/>
  <c r="B24" i="7"/>
  <c r="D37" i="7"/>
  <c r="B36" i="7"/>
  <c r="B35" i="7"/>
  <c r="D35" i="6"/>
  <c r="B23" i="7"/>
  <c r="D27" i="6"/>
  <c r="D26" i="6"/>
  <c r="B35" i="6"/>
  <c r="B21" i="7"/>
  <c r="D37" i="6"/>
  <c r="D36" i="6"/>
  <c r="B37" i="6"/>
  <c r="B36" i="6"/>
  <c r="C35" i="6"/>
  <c r="C34" i="6"/>
  <c r="C33" i="6"/>
  <c r="B22" i="7"/>
  <c r="B20" i="7"/>
  <c r="C22" i="7"/>
  <c r="C20" i="7"/>
  <c r="B19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<sst xmlns="http://schemas.openxmlformats.org/spreadsheetml/2006/main" count="321" uniqueCount="143">
  <si>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</si>
  <si>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</si>
  <si>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</si>
  <si>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</si>
  <si>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</si>
  <si>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</si>
  <si>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</si>
  <si>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</si>
  <si>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</si>
  <si>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</si>
  <si>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</si>
  <si>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</si>
  <si>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</si>
  <si>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</si>
  <si>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</si>
  <si>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</si>
  <si>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</si>
  <si>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</si>
  <si>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</si>
  <si>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</si>
  <si>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</si>
  <si>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</si>
  <si>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</si>
  <si>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</si>
  <si>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</si>
  <si>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</si>
  <si>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</si>
  <si>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</si>
  <si>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</si>
  <si>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</si>
  <si>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</si>
  <si>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</si>
  <si>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</si>
  <si>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</si>
  <si>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</si>
  <si>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</si>
  <si>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</si>
  <si>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</si>
  <si>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</si>
  <si>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</si>
  <si>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</si>
  <si>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</si>
  <si>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</si>
  <si>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</si>
  <si>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</si>
  <si>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</si>
  <si>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</si>
  <si>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</si>
  <si>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</si>
  <si>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</si>
  <si>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</si>
  <si>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</si>
  <si>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</si>
  <si>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</si>
  <si>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</si>
  <si>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</si>
  <si>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</si>
  <si>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</si>
  <si>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</si>
  <si>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</si>
  <si>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</si>
  <si>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</si>
  <si>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</si>
  <si>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</si>
  <si>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</si>
  <si>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</si>
  <si>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</si>
  <si>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</si>
  <si>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</si>
  <si>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</si>
  <si>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</si>
  <si>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</si>
  <si>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</si>
  <si>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</si>
  <si>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</si>
  <si>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</si>
  <si>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</si>
  <si>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</si>
  <si>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</si>
  <si>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</si>
  <si>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</si>
  <si>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</si>
  <si>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</si>
  <si>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</si>
  <si>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</si>
  <si>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</si>
  <si>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</si>
  <si>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</si>
  <si>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</si>
  <si>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</si>
  <si>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</si>
  <si>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</si>
  <si>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</si>
  <si>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</si>
  <si>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</si>
  <si>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</si>
  <si>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</si>
  <si>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</si>
  <si>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</si>
  <si>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</si>
  <si>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</si>
  <si>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</si>
  <si>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</si>
  <si>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</si>
  <si>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</si>
  <si>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</si>
  <si>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</si>
  <si>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</si>
  <si>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</si>
  <si>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</si>
  <si>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</si>
  <si>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</si>
  <si>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</si>
  <si>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</si>
  <si>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</si>
  <si>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</si>
  <si>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</si>
  <si>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</si>
  <si>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</si>
  <si>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</si>
  <si>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</si>
  <si>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</si>
  <si>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</si>
  <si>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</si>
  <si>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</si>
  <si>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</si>
  <si>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</si>
  <si>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</si>
  <si>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</si>
  <si>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</si>
  <si>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</si>
  <si>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</si>
  <si>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</si>
  <si>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</si>
  <si>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</si>
  <si>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</si>
  <si>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</si>
  <si>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</si>
  <si>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</si>
  <si>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</si>
  <si>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</si>
  <si>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Decenteralized Electricity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</si>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</sst>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130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131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K5" zoomScale="118" zoomScaleNormal="118" workbookViewId="0">
      <selection activeCell="T13" sqref="T13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124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125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2" t="s">
        <v>59</v>
      </c>
      <c r="R7" s="92"/>
      <c r="S7" s="92" t="s">
        <v>122</v>
      </c>
      <c r="T7" s="92" t="s">
        <v>126</v>
      </c>
      <c r="U7" s="92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69</v>
      </c>
      <c r="R8" s="92"/>
      <c r="S8" s="92" t="s">
        <v>138</v>
      </c>
      <c r="T8" s="92" t="s">
        <v>139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x14ac:dyDescent="0.25">
      <c r="Q10" s="93" t="s">
        <v>59</v>
      </c>
      <c r="R10" s="93"/>
      <c r="S10" s="93" t="s">
        <v>72</v>
      </c>
      <c r="T10" s="93" t="s">
        <v>103</v>
      </c>
      <c r="U10" s="93" t="s">
        <v>58</v>
      </c>
      <c r="V10" s="93"/>
      <c r="W10" s="93"/>
      <c r="X10" s="93"/>
      <c r="Y10" s="93"/>
      <c r="Z10" s="59"/>
    </row>
    <row r="11" spans="2:26" x14ac:dyDescent="0.25">
      <c r="Q11" s="93" t="s">
        <v>59</v>
      </c>
      <c r="R11" s="93"/>
      <c r="S11" s="93" t="s">
        <v>109</v>
      </c>
      <c r="T11" s="93" t="s">
        <v>104</v>
      </c>
      <c r="U11" s="93" t="s">
        <v>58</v>
      </c>
      <c r="V11" s="93"/>
      <c r="W11" s="93"/>
      <c r="X11" s="93"/>
      <c r="Y11" s="93"/>
    </row>
    <row r="12" spans="2:26" x14ac:dyDescent="0.25">
      <c r="Q12" s="16"/>
      <c r="R12" s="16"/>
      <c r="S12" s="16"/>
      <c r="T12" s="16"/>
      <c r="U12" s="16"/>
      <c r="V12" s="16"/>
      <c r="W12" s="16"/>
      <c r="X12" s="16"/>
      <c r="Y12" s="16"/>
    </row>
    <row r="13" spans="2:26" x14ac:dyDescent="0.25">
      <c r="Q13" s="16"/>
      <c r="R13" s="16"/>
      <c r="S13" s="16"/>
      <c r="T13" s="16"/>
      <c r="U13" s="16"/>
      <c r="V13" s="16"/>
      <c r="W13" s="16"/>
      <c r="X13" s="16"/>
      <c r="Y13" s="16"/>
    </row>
    <row r="15" spans="2:26" ht="13" x14ac:dyDescent="0.3">
      <c r="D15" s="2" t="s">
        <v>0</v>
      </c>
      <c r="E15" s="2"/>
      <c r="F15" s="2"/>
      <c r="H15" s="2"/>
      <c r="I15" s="9"/>
      <c r="J15" s="9"/>
      <c r="K15" s="9"/>
      <c r="L15" s="9"/>
      <c r="M15" s="9"/>
      <c r="N15" s="9"/>
      <c r="Q15" s="40" t="s">
        <v>17</v>
      </c>
      <c r="R15" s="40"/>
      <c r="S15" s="16"/>
      <c r="T15" s="16"/>
      <c r="U15" s="16"/>
      <c r="V15" s="16"/>
      <c r="W15" s="16"/>
      <c r="X15" s="16"/>
      <c r="Y15" s="16"/>
    </row>
    <row r="16" spans="2:26" ht="24" customHeight="1" x14ac:dyDescent="0.3">
      <c r="B16" s="5" t="s">
        <v>1</v>
      </c>
      <c r="C16" s="5" t="s">
        <v>3</v>
      </c>
      <c r="D16" s="5" t="s">
        <v>4</v>
      </c>
      <c r="E16" s="45" t="s">
        <v>55</v>
      </c>
      <c r="F16" s="46" t="s">
        <v>110</v>
      </c>
      <c r="G16" s="45" t="s">
        <v>16</v>
      </c>
      <c r="H16" s="45" t="s">
        <v>34</v>
      </c>
      <c r="I16" s="45" t="s">
        <v>47</v>
      </c>
      <c r="J16" s="45" t="s">
        <v>36</v>
      </c>
      <c r="K16" s="47" t="s">
        <v>5</v>
      </c>
      <c r="L16" s="47" t="s">
        <v>128</v>
      </c>
      <c r="M16" s="45" t="s">
        <v>56</v>
      </c>
      <c r="N16" s="47" t="s">
        <v>133</v>
      </c>
      <c r="Q16" s="41" t="s">
        <v>15</v>
      </c>
      <c r="R16" s="42" t="s">
        <v>42</v>
      </c>
      <c r="S16" s="41" t="s">
        <v>1</v>
      </c>
      <c r="T16" s="41" t="s">
        <v>2</v>
      </c>
      <c r="U16" s="41" t="s">
        <v>18</v>
      </c>
      <c r="V16" s="41" t="s">
        <v>19</v>
      </c>
      <c r="W16" s="41" t="s">
        <v>20</v>
      </c>
      <c r="X16" s="41" t="s">
        <v>21</v>
      </c>
      <c r="Y16" s="41" t="s">
        <v>22</v>
      </c>
    </row>
    <row r="17" spans="2:25" ht="31" thickBot="1" x14ac:dyDescent="0.3">
      <c r="B17" s="48" t="s">
        <v>48</v>
      </c>
      <c r="C17" s="48" t="s">
        <v>32</v>
      </c>
      <c r="D17" s="48" t="s">
        <v>33</v>
      </c>
      <c r="E17" s="48" t="s">
        <v>54</v>
      </c>
      <c r="F17" s="48" t="s">
        <v>86</v>
      </c>
      <c r="G17" s="48" t="s">
        <v>35</v>
      </c>
      <c r="H17" s="49" t="s">
        <v>49</v>
      </c>
      <c r="I17" s="48" t="s">
        <v>57</v>
      </c>
      <c r="J17" s="48" t="s">
        <v>87</v>
      </c>
      <c r="K17" s="49" t="s">
        <v>37</v>
      </c>
      <c r="L17" s="49" t="s">
        <v>129</v>
      </c>
      <c r="M17" s="49" t="s">
        <v>80</v>
      </c>
      <c r="N17" s="49" t="s">
        <v>134</v>
      </c>
      <c r="Q17" s="44" t="s">
        <v>50</v>
      </c>
      <c r="R17" s="44" t="s">
        <v>44</v>
      </c>
      <c r="S17" s="44" t="s">
        <v>27</v>
      </c>
      <c r="T17" s="44" t="s">
        <v>28</v>
      </c>
      <c r="U17" s="44" t="s">
        <v>29</v>
      </c>
      <c r="V17" s="44" t="s">
        <v>30</v>
      </c>
      <c r="W17" s="44" t="s">
        <v>51</v>
      </c>
      <c r="X17" s="44" t="s">
        <v>52</v>
      </c>
      <c r="Y17" s="44" t="s">
        <v>31</v>
      </c>
    </row>
    <row r="18" spans="2:25" ht="21" thickBot="1" x14ac:dyDescent="0.3">
      <c r="B18" s="50" t="s">
        <v>53</v>
      </c>
      <c r="C18" s="50"/>
      <c r="D18" s="50"/>
      <c r="E18" s="51"/>
      <c r="F18" s="51"/>
      <c r="G18" s="51"/>
      <c r="H18" s="52"/>
      <c r="I18" s="51" t="s">
        <v>54</v>
      </c>
      <c r="J18" s="51" t="s">
        <v>127</v>
      </c>
      <c r="K18" s="52"/>
      <c r="L18" s="53" t="s">
        <v>81</v>
      </c>
      <c r="M18" s="52"/>
      <c r="N18" s="53" t="s">
        <v>135</v>
      </c>
      <c r="Q18" s="44" t="s">
        <v>82</v>
      </c>
      <c r="R18" s="44"/>
      <c r="S18" s="44"/>
      <c r="T18" s="44"/>
      <c r="U18" s="44"/>
      <c r="V18" s="44"/>
      <c r="W18" s="44"/>
      <c r="X18" s="44"/>
      <c r="Y18" s="44"/>
    </row>
    <row r="19" spans="2:25" ht="13" x14ac:dyDescent="0.3">
      <c r="B19" s="9" t="str">
        <f>S19</f>
        <v>Furnace</v>
      </c>
      <c r="C19" s="9" t="s">
        <v>69</v>
      </c>
      <c r="D19" s="55" t="str">
        <f>S5</f>
        <v>ELCHEAT</v>
      </c>
      <c r="E19" s="85">
        <v>2030</v>
      </c>
      <c r="F19" s="56"/>
      <c r="G19" s="57">
        <v>1</v>
      </c>
      <c r="H19" s="57">
        <v>1</v>
      </c>
      <c r="I19" s="57">
        <v>30</v>
      </c>
      <c r="J19" s="57">
        <v>333</v>
      </c>
      <c r="K19" s="57"/>
      <c r="L19" s="59"/>
      <c r="M19" s="59">
        <v>8.76</v>
      </c>
      <c r="N19" s="59"/>
      <c r="Q19" s="74" t="s">
        <v>120</v>
      </c>
      <c r="R19" s="73"/>
      <c r="S19" s="71" t="s">
        <v>66</v>
      </c>
      <c r="T19" s="75" t="s">
        <v>118</v>
      </c>
      <c r="U19" s="9" t="s">
        <v>58</v>
      </c>
      <c r="V19" s="9" t="s">
        <v>88</v>
      </c>
      <c r="W19" s="58" t="s">
        <v>89</v>
      </c>
      <c r="X19" s="57"/>
      <c r="Y19" s="57"/>
    </row>
    <row r="20" spans="2:25" x14ac:dyDescent="0.25">
      <c r="B20" s="9" t="str">
        <f>S$20</f>
        <v>BIOBoiler</v>
      </c>
      <c r="C20" s="9" t="str">
        <f>PRI_Sector_Fuels!P5</f>
        <v>MANBIOMIN</v>
      </c>
      <c r="D20" s="55" t="str">
        <f>S6</f>
        <v>BIOHEAT</v>
      </c>
      <c r="E20" s="85">
        <v>2030</v>
      </c>
      <c r="F20" s="56"/>
      <c r="G20" s="57">
        <v>0.8</v>
      </c>
      <c r="H20" s="57">
        <v>1</v>
      </c>
      <c r="I20" s="57">
        <v>20</v>
      </c>
      <c r="J20" s="57">
        <v>222</v>
      </c>
      <c r="K20" s="57"/>
      <c r="L20" s="59"/>
      <c r="M20" s="59">
        <v>8.76</v>
      </c>
      <c r="N20" s="59"/>
      <c r="Q20" s="73" t="s">
        <v>120</v>
      </c>
      <c r="R20" s="73"/>
      <c r="S20" s="72" t="s">
        <v>111</v>
      </c>
      <c r="T20" s="75" t="s">
        <v>102</v>
      </c>
      <c r="U20" s="9" t="s">
        <v>58</v>
      </c>
      <c r="V20" s="9" t="s">
        <v>88</v>
      </c>
      <c r="W20" s="57"/>
      <c r="X20" s="57"/>
      <c r="Y20" s="57"/>
    </row>
    <row r="21" spans="2:25" x14ac:dyDescent="0.25">
      <c r="B21" s="9" t="str">
        <f>S23</f>
        <v>ELCBoiler</v>
      </c>
      <c r="C21" s="9" t="s">
        <v>69</v>
      </c>
      <c r="D21" s="55" t="str">
        <f>S5</f>
        <v>ELCHEAT</v>
      </c>
      <c r="E21" s="85">
        <v>2030</v>
      </c>
      <c r="F21" s="56"/>
      <c r="G21" s="57">
        <v>0.8</v>
      </c>
      <c r="H21" s="57">
        <v>1</v>
      </c>
      <c r="I21" s="57">
        <v>20</v>
      </c>
      <c r="J21" s="57">
        <v>2121</v>
      </c>
      <c r="K21" s="57"/>
      <c r="L21" s="59"/>
      <c r="M21" s="59">
        <v>8.76</v>
      </c>
      <c r="N21" s="59"/>
      <c r="Q21" s="73" t="s">
        <v>120</v>
      </c>
      <c r="R21" s="73"/>
      <c r="S21" s="72" t="s">
        <v>112</v>
      </c>
      <c r="T21" s="75" t="s">
        <v>117</v>
      </c>
      <c r="U21" s="9" t="s">
        <v>58</v>
      </c>
      <c r="V21" s="9" t="s">
        <v>88</v>
      </c>
      <c r="W21" s="57"/>
      <c r="X21" s="57"/>
      <c r="Y21" s="57"/>
    </row>
    <row r="22" spans="2:25" s="57" customFormat="1" x14ac:dyDescent="0.25">
      <c r="B22" s="9" t="str">
        <f>S21</f>
        <v>BIOKiln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0.55000000000000004</v>
      </c>
      <c r="H22" s="57">
        <v>1</v>
      </c>
      <c r="I22" s="57">
        <v>20</v>
      </c>
      <c r="J22" s="57">
        <v>444</v>
      </c>
      <c r="M22" s="59">
        <v>8.76</v>
      </c>
      <c r="Q22" s="73" t="s">
        <v>120</v>
      </c>
      <c r="R22" s="73"/>
      <c r="S22" s="72" t="s">
        <v>113</v>
      </c>
      <c r="T22" s="75" t="s">
        <v>114</v>
      </c>
      <c r="U22" s="9" t="s">
        <v>58</v>
      </c>
      <c r="V22" s="9" t="s">
        <v>88</v>
      </c>
    </row>
    <row r="23" spans="2:25" s="57" customFormat="1" x14ac:dyDescent="0.25">
      <c r="B23" s="55" t="str">
        <f>S22</f>
        <v>GASBoiler</v>
      </c>
      <c r="C23" s="9" t="str">
        <f>PRI_Sector_Fuels!P6</f>
        <v>MANGASMIN</v>
      </c>
      <c r="D23" s="55" t="s">
        <v>142</v>
      </c>
      <c r="E23" s="85">
        <v>2030</v>
      </c>
      <c r="F23" s="56"/>
      <c r="G23" s="57">
        <v>1</v>
      </c>
      <c r="H23" s="57">
        <v>1</v>
      </c>
      <c r="I23" s="57">
        <v>25</v>
      </c>
      <c r="J23" s="57">
        <v>2145</v>
      </c>
      <c r="M23" s="59">
        <v>8.76</v>
      </c>
      <c r="Q23" s="73" t="s">
        <v>120</v>
      </c>
      <c r="R23" s="73"/>
      <c r="S23" s="72" t="s">
        <v>115</v>
      </c>
      <c r="T23" s="75" t="s">
        <v>116</v>
      </c>
      <c r="U23" s="9" t="s">
        <v>58</v>
      </c>
      <c r="V23" s="9" t="s">
        <v>88</v>
      </c>
    </row>
    <row r="24" spans="2:25" s="57" customFormat="1" x14ac:dyDescent="0.25">
      <c r="B24" s="55" t="str">
        <f>S25</f>
        <v>WNDTRBN</v>
      </c>
      <c r="C24" s="9"/>
      <c r="D24" s="55" t="str">
        <f>S8</f>
        <v>DECELC</v>
      </c>
      <c r="E24" s="85">
        <v>2030</v>
      </c>
      <c r="F24" s="56"/>
      <c r="G24" s="57">
        <v>1</v>
      </c>
      <c r="H24" s="57">
        <v>1</v>
      </c>
      <c r="I24" s="57">
        <v>25</v>
      </c>
      <c r="J24" s="57">
        <v>1041</v>
      </c>
      <c r="K24" s="57">
        <v>38</v>
      </c>
      <c r="M24" s="59">
        <v>8.76</v>
      </c>
      <c r="Q24" s="73" t="s">
        <v>120</v>
      </c>
      <c r="R24" s="73"/>
      <c r="S24" s="72" t="s">
        <v>65</v>
      </c>
      <c r="T24" s="75" t="s">
        <v>119</v>
      </c>
      <c r="U24" s="9" t="s">
        <v>58</v>
      </c>
      <c r="V24" s="9" t="s">
        <v>88</v>
      </c>
      <c r="W24" s="57" t="s">
        <v>89</v>
      </c>
    </row>
    <row r="25" spans="2:25" s="57" customFormat="1" x14ac:dyDescent="0.25">
      <c r="B25" s="55" t="str">
        <f>S26</f>
        <v>SOLPV</v>
      </c>
      <c r="C25" s="9"/>
      <c r="D25" s="55" t="str">
        <f>S8</f>
        <v>DECELC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691</v>
      </c>
      <c r="K25" s="57">
        <v>1125</v>
      </c>
      <c r="M25" s="59">
        <v>8.76</v>
      </c>
      <c r="Q25" s="73" t="s">
        <v>69</v>
      </c>
      <c r="R25" s="73"/>
      <c r="S25" s="72" t="s">
        <v>94</v>
      </c>
      <c r="T25" s="75" t="s">
        <v>97</v>
      </c>
      <c r="U25" s="9" t="s">
        <v>58</v>
      </c>
      <c r="V25" s="9"/>
      <c r="W25" s="57" t="s">
        <v>89</v>
      </c>
    </row>
    <row r="26" spans="2:25" s="57" customFormat="1" x14ac:dyDescent="0.25">
      <c r="B26" s="55" t="str">
        <f>S24</f>
        <v>CSP</v>
      </c>
      <c r="C26" s="9"/>
      <c r="D26" s="55" t="str">
        <f>S7</f>
        <v>SOLHEAT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36377</v>
      </c>
      <c r="L26" s="57">
        <v>14</v>
      </c>
      <c r="M26" s="59">
        <v>8.76</v>
      </c>
      <c r="Q26" s="73" t="s">
        <v>69</v>
      </c>
      <c r="R26" s="73"/>
      <c r="S26" s="72" t="s">
        <v>95</v>
      </c>
      <c r="T26" s="75" t="s">
        <v>96</v>
      </c>
      <c r="U26" s="9" t="s">
        <v>58</v>
      </c>
      <c r="V26" s="9"/>
      <c r="W26" s="57" t="s">
        <v>89</v>
      </c>
    </row>
    <row r="27" spans="2:25" s="57" customFormat="1" x14ac:dyDescent="0.25">
      <c r="B27" s="8" t="str">
        <f>S27</f>
        <v>RNWHEAT</v>
      </c>
      <c r="C27" s="16" t="s">
        <v>121</v>
      </c>
      <c r="D27" s="55" t="s">
        <v>142</v>
      </c>
      <c r="E27" s="17">
        <v>2030</v>
      </c>
      <c r="F27" s="56"/>
      <c r="G27" s="57">
        <v>1</v>
      </c>
      <c r="H27" s="57">
        <v>1</v>
      </c>
      <c r="I27" s="57">
        <v>50</v>
      </c>
      <c r="J27" s="57">
        <v>0</v>
      </c>
      <c r="K27" s="8"/>
      <c r="M27" s="59">
        <v>8.76</v>
      </c>
      <c r="Q27" s="8" t="s">
        <v>120</v>
      </c>
      <c r="R27" s="8"/>
      <c r="S27" s="8" t="s">
        <v>137</v>
      </c>
      <c r="T27" s="8" t="s">
        <v>140</v>
      </c>
      <c r="U27" s="8" t="s">
        <v>58</v>
      </c>
      <c r="V27" s="8"/>
      <c r="W27" s="8"/>
      <c r="X27" s="8"/>
      <c r="Y27" s="8"/>
    </row>
    <row r="28" spans="2:25" s="57" customFormat="1" x14ac:dyDescent="0.25">
      <c r="B28" s="8" t="str">
        <f>S27</f>
        <v>RNWHEAT</v>
      </c>
      <c r="C28" s="16" t="s">
        <v>123</v>
      </c>
      <c r="D28" s="55" t="s">
        <v>142</v>
      </c>
      <c r="E28" s="17">
        <v>2030</v>
      </c>
      <c r="F28" s="56"/>
      <c r="G28" s="57">
        <v>1</v>
      </c>
      <c r="H28" s="57">
        <v>1</v>
      </c>
      <c r="I28" s="57">
        <v>50</v>
      </c>
      <c r="J28" s="57">
        <v>0</v>
      </c>
      <c r="K28" s="8"/>
      <c r="M28" s="59">
        <v>8.76</v>
      </c>
      <c r="Q28" s="57" t="s">
        <v>69</v>
      </c>
      <c r="S28" s="57" t="s">
        <v>138</v>
      </c>
      <c r="T28" s="57" t="s">
        <v>141</v>
      </c>
      <c r="U28" s="57" t="s">
        <v>58</v>
      </c>
    </row>
    <row r="29" spans="2:25" s="57" customFormat="1" x14ac:dyDescent="0.25">
      <c r="B29" s="8" t="str">
        <f>S27</f>
        <v>RNWHEAT</v>
      </c>
      <c r="C29" s="16" t="s">
        <v>122</v>
      </c>
      <c r="D29" s="55" t="s">
        <v>142</v>
      </c>
      <c r="E29" s="17">
        <v>2030</v>
      </c>
      <c r="F29" s="56"/>
      <c r="G29" s="57">
        <v>1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16" t="str">
        <f>S22</f>
        <v>GASBoiler</v>
      </c>
      <c r="C30" s="16" t="s">
        <v>67</v>
      </c>
      <c r="D30" s="55" t="s">
        <v>136</v>
      </c>
      <c r="E30" s="17">
        <v>2030</v>
      </c>
      <c r="F30" s="56"/>
      <c r="G30" s="57">
        <v>1</v>
      </c>
      <c r="K30" s="8"/>
      <c r="M30" s="59">
        <v>8.76</v>
      </c>
      <c r="N30" s="57">
        <v>0.20200000000000001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7" customFormat="1" x14ac:dyDescent="0.25">
      <c r="B31" s="16" t="str">
        <f>S28</f>
        <v>DECELC</v>
      </c>
      <c r="C31" s="16" t="str">
        <f>S8</f>
        <v>DECELC</v>
      </c>
      <c r="D31" s="55" t="s">
        <v>69</v>
      </c>
      <c r="E31" s="17">
        <v>2030</v>
      </c>
      <c r="F31" s="56"/>
      <c r="G31" s="57">
        <v>1</v>
      </c>
      <c r="H31" s="57">
        <v>1</v>
      </c>
      <c r="I31" s="57">
        <v>100</v>
      </c>
      <c r="J31" s="57">
        <v>0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/>
      <c r="C32" s="16"/>
      <c r="D32" s="55"/>
      <c r="E32" s="17"/>
      <c r="F32" s="56"/>
      <c r="K32" s="8"/>
      <c r="M32" s="59"/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/>
      <c r="C33" s="16"/>
      <c r="D33" s="55"/>
      <c r="E33" s="17"/>
      <c r="F33" s="56"/>
      <c r="K33" s="8"/>
      <c r="M33" s="59"/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8"/>
      <c r="C34" s="16"/>
      <c r="D34" s="55"/>
      <c r="E34" s="17"/>
      <c r="F34" s="56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 t="str">
        <f>S35</f>
        <v>WNDTRBN</v>
      </c>
      <c r="C35" s="16"/>
      <c r="D35" s="55" t="s">
        <v>69</v>
      </c>
      <c r="E35" s="17">
        <v>2030</v>
      </c>
      <c r="F35" s="56"/>
      <c r="G35" s="57">
        <v>1</v>
      </c>
      <c r="H35" s="57">
        <v>0.97</v>
      </c>
      <c r="I35" s="57">
        <v>25</v>
      </c>
      <c r="J35" s="83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7" customFormat="1" x14ac:dyDescent="0.25">
      <c r="B36" s="16" t="str">
        <f>S36</f>
        <v>SOLPV</v>
      </c>
      <c r="C36" s="8"/>
      <c r="D36" s="55" t="s">
        <v>69</v>
      </c>
      <c r="E36" s="17">
        <v>2030</v>
      </c>
      <c r="F36" s="60"/>
      <c r="G36" s="8">
        <v>1</v>
      </c>
      <c r="H36" s="8">
        <v>0.99</v>
      </c>
      <c r="I36" s="8">
        <v>25</v>
      </c>
      <c r="J36" s="84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9" customFormat="1" ht="13" x14ac:dyDescent="0.3">
      <c r="B37" s="8" t="s">
        <v>65</v>
      </c>
      <c r="C37" s="8"/>
      <c r="D37" s="8" t="str">
        <f>S7</f>
        <v>SOLHEAT</v>
      </c>
      <c r="E37" s="17">
        <v>2030</v>
      </c>
      <c r="F37" s="60"/>
      <c r="G37" s="8">
        <v>1</v>
      </c>
      <c r="H37" s="8">
        <v>1</v>
      </c>
      <c r="I37" s="8">
        <v>25</v>
      </c>
      <c r="J37" s="84">
        <v>36377</v>
      </c>
      <c r="K37" s="8">
        <v>0</v>
      </c>
      <c r="L37" s="59">
        <v>14</v>
      </c>
      <c r="Q37" s="8"/>
      <c r="R37" s="8"/>
      <c r="S37" s="8"/>
      <c r="T37" s="8"/>
      <c r="U37" s="16"/>
      <c r="V37" s="16"/>
      <c r="W37" s="64"/>
      <c r="X37" s="8"/>
      <c r="Y37" s="8"/>
    </row>
    <row r="38" spans="2:25" x14ac:dyDescent="0.25">
      <c r="F38" s="60"/>
      <c r="G38" s="10"/>
      <c r="H38" s="62"/>
      <c r="R38" s="59"/>
      <c r="T38" s="59"/>
      <c r="U38" s="61"/>
      <c r="V38" s="61"/>
    </row>
    <row r="39" spans="2:25" x14ac:dyDescent="0.25">
      <c r="H39" s="62"/>
    </row>
    <row r="40" spans="2:25" x14ac:dyDescent="0.25">
      <c r="B40" s="54"/>
      <c r="C40" s="8" t="s">
        <v>83</v>
      </c>
      <c r="H40" s="62"/>
    </row>
    <row r="41" spans="2:25" x14ac:dyDescent="0.25">
      <c r="B41" s="63"/>
      <c r="C41" s="8" t="s">
        <v>84</v>
      </c>
      <c r="H41" s="62"/>
    </row>
    <row r="42" spans="2:25" x14ac:dyDescent="0.25">
      <c r="E42" s="8" t="s">
        <v>90</v>
      </c>
      <c r="F42" s="8" t="s">
        <v>91</v>
      </c>
      <c r="H42" s="62"/>
    </row>
    <row r="44" spans="2:25" x14ac:dyDescent="0.25">
      <c r="E44" s="8" t="s">
        <v>92</v>
      </c>
      <c r="F44" s="8">
        <f>24*365</f>
        <v>8760</v>
      </c>
    </row>
    <row r="45" spans="2:25" x14ac:dyDescent="0.25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2025-11-12T20:32:14Z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