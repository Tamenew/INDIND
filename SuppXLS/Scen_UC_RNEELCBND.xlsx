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124226"/>
  <mc:AlternateContent xmlns:mc="http://schemas.openxmlformats.org/markup-compatibility/2006">
    <mc:Choice Requires="x15">
      <x15ac:absPath xmlns:x15ac="http://schemas.microsoft.com/office/spreadsheetml/2010/11/ac" url="C:\Veda\IND001\INDIND\SuppXLS\"/>
    </mc:Choice>
  </mc:AlternateContent>
  <xr:revisionPtr revIDLastSave="0" documentId="13_ncr:1_{5082DC1B-AA1F-4201-845C-FA23F9ACDDA9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UC_CO2" sheetId="1" r:id="rId1"/>
  </sheets>
  <calcPr calcId="191029" calcOnSave="0" concurrentCalc="0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L7" i="1" l="1"/>
  <c r="L6" i="1"/>
</calcChain>
</file>

<file path=xl/sharedStrings.xml><?xml version="1.0" encoding="utf-8"?>
<sst xmlns="http://schemas.openxmlformats.org/spreadsheetml/2006/main" count="32" uniqueCount="29">
  <si>
    <t>~UC_Sets: R_E: AllRegions</t>
  </si>
  <si>
    <t>UC_N</t>
  </si>
  <si>
    <t>Pset_CI</t>
  </si>
  <si>
    <t>Year</t>
  </si>
  <si>
    <t>Pset_PN</t>
  </si>
  <si>
    <t>Pset_Set</t>
  </si>
  <si>
    <t>Cset_CN</t>
  </si>
  <si>
    <t>Pset_CO</t>
  </si>
  <si>
    <t>Attribute</t>
  </si>
  <si>
    <t>LimType</t>
  </si>
  <si>
    <t>~UC_Sets: T_E:</t>
  </si>
  <si>
    <t>UC_Desc</t>
  </si>
  <si>
    <t>UC - Each Region/Period</t>
  </si>
  <si>
    <t>Region</t>
  </si>
  <si>
    <t>UC_COMNET</t>
  </si>
  <si>
    <t>UC_RHSRTS~0</t>
  </si>
  <si>
    <t>~UC_T:UC_RHSRTS</t>
  </si>
  <si>
    <t>Scenario</t>
  </si>
  <si>
    <t>CommodityDesc\Period</t>
  </si>
  <si>
    <t>Reduction Coeff</t>
  </si>
  <si>
    <t>Reference Scenario</t>
  </si>
  <si>
    <t>ETH</t>
  </si>
  <si>
    <t>MANOILIMP</t>
  </si>
  <si>
    <t>Manufacturing Oil  Bound Constraint</t>
  </si>
  <si>
    <t>Table Name: Manufacturing sector oil use</t>
  </si>
  <si>
    <t>Active Unit: GWh</t>
  </si>
  <si>
    <t>AU_RNWELC_BND</t>
  </si>
  <si>
    <t>LO</t>
  </si>
  <si>
    <t>ELC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</si>
</sst>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Calibri"/>
      <family val="2"/>
      <scheme val="minor"/>
    </font>
    <font>
      <b/>
      <sz val="11"/>
      <color indexed="8"/>
      <name val="Calibri"/>
      <family val="2"/>
    </font>
    <font>
      <sz val="11"/>
      <color indexed="8"/>
      <name val="Calibri"/>
      <family val="2"/>
    </font>
    <font>
      <b/>
      <sz val="11"/>
      <color indexed="8"/>
      <name val="Calibri"/>
      <family val="2"/>
    </font>
    <font>
      <b/>
      <sz val="10"/>
      <name val="Arial"/>
      <family val="2"/>
    </font>
    <font>
      <sz val="10"/>
      <name val="Arial"/>
      <family val="2"/>
    </font>
    <font>
      <sz val="8"/>
      <name val="Calibri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indexed="51"/>
        <bgColor indexed="64"/>
      </patternFill>
    </fill>
    <fill>
      <patternFill patternType="solid">
        <fgColor indexed="43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9" tint="0.79998168889431442"/>
        <bgColor indexed="64"/>
      </patternFill>
    </fill>
  </fills>
  <borders count="1">
    <border>
      <left/>
      <right/>
      <top/>
      <bottom/>
      <diagonal/>
    </border>
  </borders>
  <cellStyleXfs count="3">
    <xf numFmtId="0" fontId="0" fillId="0" borderId="0"/>
    <xf numFmtId="0" fontId="5" fillId="0" borderId="0"/>
    <xf numFmtId="0" fontId="2" fillId="0" borderId="0"/>
  </cellStyleXfs>
  <cellXfs count="12">
    <xf numFmtId="0" fontId="0" fillId="0" borderId="0" xfId="0"/>
    <xf numFmtId="0" fontId="3" fillId="0" borderId="0" xfId="2" applyFont="1"/>
    <xf numFmtId="0" fontId="4" fillId="2" borderId="0" xfId="0" applyFont="1" applyFill="1"/>
    <xf numFmtId="0" fontId="4" fillId="4" borderId="0" xfId="0" applyFont="1" applyFill="1"/>
    <xf numFmtId="0" fontId="4" fillId="5" borderId="0" xfId="0" applyFont="1" applyFill="1"/>
    <xf numFmtId="0" fontId="4" fillId="0" borderId="0" xfId="0" applyFont="1"/>
    <xf numFmtId="0" fontId="1" fillId="0" borderId="0" xfId="2" applyFont="1"/>
    <xf numFmtId="0" fontId="5" fillId="0" borderId="0" xfId="0" applyFont="1"/>
    <xf numFmtId="1" fontId="0" fillId="0" borderId="0" xfId="0" applyNumberFormat="1"/>
    <xf numFmtId="0" fontId="5" fillId="6" borderId="0" xfId="0" applyFont="1" applyFill="1"/>
    <xf numFmtId="0" fontId="5" fillId="3" borderId="0" xfId="0" applyFont="1" applyFill="1"/>
    <xf numFmtId="9" fontId="0" fillId="0" borderId="0" xfId="0" applyNumberFormat="1" applyAlignment="1">
      <alignment horizontal="center"/>
    </xf>
  </cellXfs>
  <cellStyles count="3">
    <cellStyle name="Normal" xfId="0" builtinId="0"/>
    <cellStyle name="Normal 10" xfId="1" xr:uid="{00000000-0005-0000-0000-000001000000}"/>
    <cellStyle name="Normale_Scen_UC_IND-StrucConst" xfId="2" xr:uid="{00000000-0005-0000-0000-000002000000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578427</xdr:colOff>
      <xdr:row>13</xdr:row>
      <xdr:rowOff>19916</xdr:rowOff>
    </xdr:from>
    <xdr:to>
      <xdr:col>9</xdr:col>
      <xdr:colOff>1085851</xdr:colOff>
      <xdr:row>17</xdr:row>
      <xdr:rowOff>9525</xdr:rowOff>
    </xdr:to>
    <xdr:sp macro="" textlink="">
      <xdr:nvSpPr>
        <xdr:cNvPr id="2" name="TextBox 1">
          <a:extLst>
            <a:ext uri="{FF2B5EF4-FFF2-40B4-BE49-F238E27FC236}">
              <a16:creationId xmlns:a16="http://schemas.microsoft.com/office/drawing/2014/main" id="{CE36994A-0F9E-49BB-8671-C874B42A7D12}"/>
            </a:ext>
          </a:extLst>
        </xdr:cNvPr>
        <xdr:cNvSpPr txBox="1"/>
      </xdr:nvSpPr>
      <xdr:spPr>
        <a:xfrm>
          <a:off x="578427" y="1734416"/>
          <a:ext cx="8746549" cy="751609"/>
        </a:xfrm>
        <a:prstGeom prst="rect">
          <a:avLst/>
        </a:prstGeom>
        <a:solidFill>
          <a:schemeClr val="accent6">
            <a:lumMod val="20000"/>
            <a:lumOff val="80000"/>
          </a:schemeClr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lvl="0"/>
          <a:r>
            <a:rPr lang="en-GB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Get and copy the ELCCO2 and TRACO2 emissions (kt) from the base scenario results (run name</a:t>
          </a:r>
          <a:r>
            <a:rPr lang="en-GB" sz="110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DemoS_007)</a:t>
          </a:r>
          <a:r>
            <a:rPr lang="en-GB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.</a:t>
          </a:r>
        </a:p>
        <a:p>
          <a:pPr lvl="0"/>
          <a:r>
            <a:rPr lang="en-GB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Build a user constraint</a:t>
          </a:r>
          <a:r>
            <a:rPr lang="en-GB" sz="110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that specifcy the maximum amount of emissions in a secific year for the sum of TRACO2 and ELCCO2</a:t>
          </a:r>
          <a:endParaRPr lang="en-GB" sz="1100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pPr lvl="0"/>
          <a:r>
            <a:rPr lang="en-GB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Declare the reduction target(s) (%) to reach at specific year(s) in each region using the COM_BDNNET</a:t>
          </a:r>
          <a:r>
            <a:rPr lang="en-GB" sz="110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attribute</a:t>
          </a:r>
          <a:r>
            <a:rPr lang="en-GB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.</a:t>
          </a:r>
        </a:p>
      </xdr:txBody>
    </xdr:sp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R33"/>
  <sheetViews>
    <sheetView tabSelected="1" zoomScaleNormal="100" workbookViewId="0">
      <selection activeCell="G6" sqref="G6"/>
    </sheetView>
  </sheetViews>
  <sheetFormatPr defaultRowHeight="15" x14ac:dyDescent="0.25"/>
  <cols>
    <col min="2" max="2" width="38.5703125" bestFit="1" customWidth="1"/>
    <col min="3" max="3" width="10.28515625" customWidth="1"/>
    <col min="4" max="4" width="30.140625" customWidth="1"/>
    <col min="5" max="6" width="11.140625" customWidth="1"/>
    <col min="7" max="7" width="15.28515625" bestFit="1" customWidth="1"/>
    <col min="8" max="9" width="11.140625" customWidth="1"/>
    <col min="10" max="10" width="17.28515625" bestFit="1" customWidth="1"/>
    <col min="11" max="11" width="12.42578125" bestFit="1" customWidth="1"/>
    <col min="12" max="12" width="9.85546875" customWidth="1"/>
    <col min="13" max="13" width="15" bestFit="1" customWidth="1"/>
    <col min="14" max="14" width="20.5703125" bestFit="1" customWidth="1"/>
    <col min="15" max="15" width="8.140625" bestFit="1" customWidth="1"/>
    <col min="16" max="17" width="7.140625" bestFit="1" customWidth="1"/>
    <col min="18" max="18" width="14.140625" bestFit="1" customWidth="1"/>
  </cols>
  <sheetData>
    <row r="1" spans="1:18" x14ac:dyDescent="0.25">
      <c r="A1" t="s">
        <v>12</v>
      </c>
    </row>
    <row r="2" spans="1:18" x14ac:dyDescent="0.25">
      <c r="B2" s="1" t="s">
        <v>0</v>
      </c>
    </row>
    <row r="3" spans="1:18" x14ac:dyDescent="0.25">
      <c r="B3" s="6" t="s">
        <v>10</v>
      </c>
    </row>
    <row r="4" spans="1:18" x14ac:dyDescent="0.25">
      <c r="J4" t="s">
        <v>16</v>
      </c>
    </row>
    <row r="5" spans="1:18" x14ac:dyDescent="0.25">
      <c r="B5" s="4" t="s">
        <v>1</v>
      </c>
      <c r="C5" s="2" t="s">
        <v>5</v>
      </c>
      <c r="D5" s="2" t="s">
        <v>4</v>
      </c>
      <c r="E5" s="2" t="s">
        <v>2</v>
      </c>
      <c r="F5" s="2" t="s">
        <v>7</v>
      </c>
      <c r="G5" s="3" t="s">
        <v>6</v>
      </c>
      <c r="H5" s="3" t="s">
        <v>8</v>
      </c>
      <c r="I5" s="3" t="s">
        <v>3</v>
      </c>
      <c r="J5" s="3" t="s">
        <v>9</v>
      </c>
      <c r="K5" s="5" t="s">
        <v>14</v>
      </c>
      <c r="L5" s="9" t="s">
        <v>21</v>
      </c>
      <c r="M5" s="7" t="s">
        <v>15</v>
      </c>
      <c r="N5" s="4" t="s">
        <v>11</v>
      </c>
      <c r="R5" s="10" t="s">
        <v>19</v>
      </c>
    </row>
    <row r="6" spans="1:18" x14ac:dyDescent="0.25">
      <c r="B6" t="s">
        <v>26</v>
      </c>
      <c r="G6" t="s">
        <v>22</v>
      </c>
      <c r="I6">
        <v>2030</v>
      </c>
      <c r="J6" t="s">
        <v>27</v>
      </c>
      <c r="K6">
        <v>1</v>
      </c>
      <c r="L6" s="8">
        <f>G24*(1-R6)</f>
        <v>5842.648000000001</v>
      </c>
      <c r="M6">
        <v>5</v>
      </c>
      <c r="N6" t="s">
        <v>23</v>
      </c>
      <c r="R6" s="11">
        <v>0.2</v>
      </c>
    </row>
    <row r="7" spans="1:18" x14ac:dyDescent="0.25">
      <c r="G7" t="s">
        <v>22</v>
      </c>
      <c r="I7">
        <v>2050</v>
      </c>
      <c r="J7" t="s">
        <v>27</v>
      </c>
      <c r="K7">
        <v>1</v>
      </c>
      <c r="L7" s="8">
        <f>K24*(1-R7)</f>
        <v>53199.86</v>
      </c>
      <c r="R7" s="11">
        <v>0.3</v>
      </c>
    </row>
    <row r="8" spans="1:18" x14ac:dyDescent="0.25">
      <c r="L8" s="8"/>
      <c r="R8" s="11"/>
    </row>
    <row r="9" spans="1:18" x14ac:dyDescent="0.25">
      <c r="L9" s="8"/>
      <c r="R9" s="11"/>
    </row>
    <row r="10" spans="1:18" x14ac:dyDescent="0.25">
      <c r="L10" s="8"/>
      <c r="R10" s="11"/>
    </row>
    <row r="11" spans="1:18" x14ac:dyDescent="0.25">
      <c r="L11" s="8"/>
      <c r="R11" s="11"/>
    </row>
    <row r="12" spans="1:18" x14ac:dyDescent="0.25">
      <c r="R12" s="11"/>
    </row>
    <row r="21" spans="2:17" x14ac:dyDescent="0.25">
      <c r="B21" t="s">
        <v>24</v>
      </c>
    </row>
    <row r="22" spans="2:17" x14ac:dyDescent="0.25">
      <c r="B22" t="s">
        <v>25</v>
      </c>
    </row>
    <row r="23" spans="2:17" x14ac:dyDescent="0.25">
      <c r="B23" t="s">
        <v>17</v>
      </c>
      <c r="C23" t="s">
        <v>13</v>
      </c>
      <c r="D23" t="s">
        <v>18</v>
      </c>
      <c r="E23">
        <v>2022</v>
      </c>
      <c r="F23">
        <v>2025</v>
      </c>
      <c r="G23">
        <v>2030</v>
      </c>
      <c r="H23">
        <v>2035</v>
      </c>
      <c r="I23">
        <v>2040</v>
      </c>
      <c r="J23">
        <v>2045</v>
      </c>
      <c r="K23" s="8">
        <v>2050</v>
      </c>
      <c r="L23" s="8"/>
      <c r="M23" s="8"/>
      <c r="N23" s="8"/>
      <c r="O23" s="8"/>
      <c r="P23" s="8"/>
      <c r="Q23" s="8"/>
    </row>
    <row r="24" spans="2:17" x14ac:dyDescent="0.25">
      <c r="B24" t="s">
        <v>20</v>
      </c>
      <c r="C24" t="s">
        <v>21</v>
      </c>
      <c r="D24" t="s">
        <v>28</v>
      </c>
      <c r="E24" s="8"/>
      <c r="F24" s="8"/>
      <c r="G24" s="8">
        <v>7303.31</v>
      </c>
      <c r="H24" s="8"/>
      <c r="I24" s="8"/>
      <c r="J24" s="8"/>
      <c r="K24" s="8">
        <v>75999.8</v>
      </c>
      <c r="L24" s="8"/>
      <c r="M24" s="8"/>
      <c r="N24" s="8"/>
      <c r="O24" s="8"/>
      <c r="P24" s="8"/>
      <c r="Q24" s="8"/>
    </row>
    <row r="25" spans="2:17" x14ac:dyDescent="0.25"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  <c r="P25" s="8"/>
      <c r="Q25" s="8"/>
    </row>
    <row r="26" spans="2:17" x14ac:dyDescent="0.25"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  <c r="P26" s="8"/>
      <c r="Q26" s="8"/>
    </row>
    <row r="27" spans="2:17" x14ac:dyDescent="0.25">
      <c r="E27" s="8"/>
      <c r="F27" s="8"/>
      <c r="G27" s="8"/>
      <c r="H27" s="8"/>
      <c r="I27" s="8"/>
      <c r="J27" s="8"/>
      <c r="K27" s="8"/>
      <c r="L27" s="8"/>
      <c r="M27" s="8"/>
      <c r="N27" s="8"/>
      <c r="O27" s="8"/>
      <c r="P27" s="8"/>
      <c r="Q27" s="8"/>
    </row>
    <row r="28" spans="2:17" x14ac:dyDescent="0.25">
      <c r="E28" s="8"/>
      <c r="F28" s="8"/>
      <c r="G28" s="8"/>
      <c r="H28" s="8"/>
      <c r="I28" s="8"/>
      <c r="J28" s="8"/>
    </row>
    <row r="30" spans="2:17" x14ac:dyDescent="0.25">
      <c r="E30" s="8"/>
      <c r="F30" s="8"/>
      <c r="G30" s="8"/>
      <c r="H30" s="8"/>
      <c r="I30" s="8"/>
      <c r="O30" s="8"/>
    </row>
    <row r="31" spans="2:17" x14ac:dyDescent="0.25">
      <c r="E31" s="8"/>
      <c r="F31" s="8"/>
      <c r="G31" s="8"/>
      <c r="H31" s="8"/>
      <c r="I31" s="8"/>
      <c r="O31" s="8"/>
    </row>
    <row r="32" spans="2:17" x14ac:dyDescent="0.25">
      <c r="G32" s="8"/>
      <c r="O32" s="8"/>
    </row>
    <row r="33" spans="7:7" x14ac:dyDescent="0.25">
      <c r="G33" s="8"/>
    </row>
  </sheetData>
  <phoneticPr fontId="6" type="noConversion"/>
  <pageMargins left="0.7" right="0.7" top="0.75" bottom="0.75" header="0.3" footer="0.3"/>
  <pageSetup orientation="portrait" verticalDpi="0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UC_CO2</vt:lpstr>
    </vt:vector>
  </TitlesOfParts>
  <Company>KanORS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Amit Kanudia</dc:creator>
  <cp:lastModifiedBy>Meselu Tegenie Mellaku</cp:lastModifiedBy>
  <dcterms:created xsi:type="dcterms:W3CDTF">2009-05-27T15:40:55Z</dcterms:created>
  <dcterms:modified xsi:type="dcterms:W3CDTF">2025-11-18T16:09:59Z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SaveCode">
    <vt:lpwstr>704221844673157</vt:lpwstr>
  </property>
  <property fmtid="{D5CDD505-2E9C-101B-9397-08002B2CF9AE}" pid="3" name="MSIP_Label_d0484126-3486-41a9-802e-7f1e2277276c_Enabled">
    <vt:lpwstr>true</vt:lpwstr>
  </property>
  <property fmtid="{D5CDD505-2E9C-101B-9397-08002B2CF9AE}" pid="4" name="MSIP_Label_d0484126-3486-41a9-802e-7f1e2277276c_SetDate">
    <vt:lpwstr>2025-11-04T10:34:32Z</vt:lpwstr>
  </property>
  <property fmtid="{D5CDD505-2E9C-101B-9397-08002B2CF9AE}" pid="5" name="MSIP_Label_d0484126-3486-41a9-802e-7f1e2277276c_Method">
    <vt:lpwstr>Standard</vt:lpwstr>
  </property>
  <property fmtid="{D5CDD505-2E9C-101B-9397-08002B2CF9AE}" pid="6" name="MSIP_Label_d0484126-3486-41a9-802e-7f1e2277276c_Name">
    <vt:lpwstr>d0484126-3486-41a9-802e-7f1e2277276c</vt:lpwstr>
  </property>
  <property fmtid="{D5CDD505-2E9C-101B-9397-08002B2CF9AE}" pid="7" name="MSIP_Label_d0484126-3486-41a9-802e-7f1e2277276c_SiteId">
    <vt:lpwstr>eec01f8e-737f-43e3-9ed5-f8a59913bd82</vt:lpwstr>
  </property>
  <property fmtid="{D5CDD505-2E9C-101B-9397-08002B2CF9AE}" pid="8" name="MSIP_Label_d0484126-3486-41a9-802e-7f1e2277276c_ActionId">
    <vt:lpwstr>ff7e4583-8c98-432e-b5dc-953eeb5f17a0</vt:lpwstr>
  </property>
  <property fmtid="{D5CDD505-2E9C-101B-9397-08002B2CF9AE}" pid="9" name="MSIP_Label_d0484126-3486-41a9-802e-7f1e2277276c_ContentBits">
    <vt:lpwstr>0</vt:lpwstr>
  </property>
  <property fmtid="{D5CDD505-2E9C-101B-9397-08002B2CF9AE}" pid="10" name="MSIP_Label_d0484126-3486-41a9-802e-7f1e2277276c_Tag">
    <vt:lpwstr>10, 3, 0, 1</vt:lpwstr>
  </property>
</Properties>
</file>