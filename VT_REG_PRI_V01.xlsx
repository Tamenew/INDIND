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4EA34409-54D2-4084-B321-D745839AC51F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45" l="1"/>
  <c r="E9" i="145"/>
  <c r="E21" i="143"/>
  <c r="E20" i="143"/>
  <c r="C21" i="143"/>
  <c r="D21" i="143"/>
  <c r="D20" i="143"/>
  <c r="B21" i="143"/>
  <c r="C20" i="143"/>
  <c r="B20" i="143"/>
  <c r="B19" i="143"/>
  <c r="F9" i="145"/>
  <c r="F11" i="145"/>
  <c r="F13" i="145"/>
  <c r="F14" i="145"/>
  <c r="F15" i="145"/>
  <c r="F16" i="145"/>
  <c r="G9" i="145"/>
  <c r="G11" i="145"/>
  <c r="G13" i="145"/>
  <c r="G14" i="145"/>
  <c r="G15" i="145"/>
  <c r="G16" i="145"/>
  <c r="H9" i="145"/>
  <c r="H11" i="145"/>
  <c r="H13" i="145"/>
  <c r="H14" i="145"/>
  <c r="H15" i="145"/>
  <c r="H16" i="145"/>
  <c r="I9" i="145"/>
  <c r="I11" i="145"/>
  <c r="I13" i="145"/>
  <c r="I14" i="145"/>
  <c r="I15" i="145"/>
  <c r="I16" i="145"/>
  <c r="J9" i="145"/>
  <c r="J11" i="145"/>
  <c r="J13" i="145"/>
  <c r="J14" i="145"/>
  <c r="J15" i="145"/>
  <c r="J16" i="145"/>
  <c r="K9" i="145"/>
  <c r="K11" i="145"/>
  <c r="K13" i="145"/>
  <c r="K14" i="145"/>
  <c r="K15" i="145"/>
  <c r="K16" i="145"/>
  <c r="M11" i="145"/>
  <c r="M10" i="145"/>
  <c r="M9" i="145"/>
  <c r="L64" i="133"/>
  <c r="M64" i="133"/>
  <c r="M63" i="133"/>
  <c r="M62" i="133"/>
  <c r="O53" i="133"/>
  <c r="O54" i="133"/>
  <c r="O55" i="133"/>
  <c r="O56" i="133"/>
  <c r="O57" i="133"/>
  <c r="N53" i="133"/>
  <c r="N54" i="133"/>
  <c r="N55" i="133"/>
  <c r="N56" i="133"/>
  <c r="N57" i="133"/>
  <c r="M53" i="133"/>
  <c r="M54" i="133"/>
  <c r="M55" i="133"/>
  <c r="M56" i="133"/>
  <c r="M57" i="133"/>
  <c r="N52" i="133"/>
  <c r="O52" i="133"/>
  <c r="M52" i="133"/>
  <c r="I62" i="133"/>
  <c r="I63" i="133"/>
  <c r="I64" i="133"/>
  <c r="K64" i="133"/>
  <c r="K63" i="133"/>
  <c r="K62" i="133"/>
  <c r="F10" i="145"/>
  <c r="G10" i="145"/>
  <c r="H10" i="145"/>
  <c r="I10" i="145"/>
  <c r="J10" i="145"/>
  <c r="K10" i="145"/>
  <c r="E15" i="145"/>
  <c r="E14" i="145"/>
  <c r="E13" i="145"/>
  <c r="E16" i="145"/>
  <c r="E10" i="145"/>
  <c r="L63" i="133"/>
  <c r="E64" i="133"/>
  <c r="F64" i="133"/>
  <c r="G64" i="133"/>
  <c r="H64" i="133"/>
  <c r="D64" i="133"/>
  <c r="E62" i="133"/>
  <c r="F62" i="133"/>
  <c r="G62" i="133"/>
  <c r="H62" i="133"/>
  <c r="D62" i="133"/>
  <c r="J64" i="133"/>
  <c r="D11" i="145"/>
  <c r="C11" i="145"/>
  <c r="D17" i="143"/>
  <c r="D16" i="143"/>
  <c r="E19" i="143"/>
  <c r="E18" i="143"/>
  <c r="E17" i="143"/>
  <c r="E16" i="143"/>
  <c r="D23" i="137"/>
  <c r="D24" i="137"/>
  <c r="D25" i="137"/>
  <c r="I23" i="137"/>
  <c r="E40" i="133"/>
  <c r="D39" i="133"/>
  <c r="D38" i="133"/>
  <c r="L61" i="133"/>
  <c r="L62" i="133"/>
  <c r="K61" i="133"/>
  <c r="J61" i="133"/>
  <c r="J62" i="133"/>
  <c r="J63" i="133"/>
  <c r="I61" i="133"/>
  <c r="E63" i="133"/>
  <c r="F63" i="133"/>
  <c r="G63" i="133"/>
  <c r="H63" i="133"/>
  <c r="D63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/>
  <c r="G67" i="147"/>
  <c r="E55" i="133"/>
  <c r="F55" i="133"/>
  <c r="G55" i="133"/>
  <c r="H55" i="133"/>
  <c r="D55" i="133"/>
  <c r="E54" i="133"/>
  <c r="F54" i="133"/>
  <c r="G54" i="133"/>
  <c r="I54" i="133"/>
  <c r="H54" i="133"/>
  <c r="D54" i="133"/>
  <c r="D57" i="133"/>
  <c r="E53" i="133"/>
  <c r="F53" i="133"/>
  <c r="G53" i="133"/>
  <c r="I53" i="133"/>
  <c r="L53" i="133"/>
  <c r="H53" i="133"/>
  <c r="D53" i="133"/>
  <c r="E52" i="133"/>
  <c r="F52" i="133"/>
  <c r="G52" i="133"/>
  <c r="H52" i="133"/>
  <c r="D52" i="133"/>
  <c r="D56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19" i="143"/>
  <c r="D18" i="143"/>
  <c r="C19" i="143"/>
  <c r="F56" i="133"/>
  <c r="F57" i="133"/>
  <c r="E56" i="133"/>
  <c r="E57" i="133"/>
  <c r="H56" i="133"/>
  <c r="H57" i="133"/>
  <c r="G56" i="13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G57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18" i="133"/>
  <c r="F18" i="133"/>
  <c r="G18" i="133"/>
  <c r="H18" i="133"/>
  <c r="I18" i="133"/>
  <c r="J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C9" i="145"/>
  <c r="E6" i="146"/>
  <c r="F6" i="146"/>
  <c r="D6" i="146"/>
  <c r="C6" i="146"/>
  <c r="E21" i="145"/>
  <c r="E20" i="145"/>
  <c r="F35" i="143"/>
  <c r="C10" i="145"/>
  <c r="I26" i="137"/>
  <c r="I25" i="137"/>
  <c r="B18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17" i="143"/>
  <c r="C2" i="143"/>
  <c r="Q7" i="143"/>
  <c r="B2" i="143"/>
  <c r="F2" i="145"/>
  <c r="E2" i="145"/>
  <c r="D10" i="145"/>
  <c r="G4" i="137"/>
  <c r="G3" i="137"/>
  <c r="C16" i="143"/>
  <c r="C18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I24" i="137"/>
  <c r="B17" i="143"/>
  <c r="B16" i="143"/>
  <c r="C17" i="143"/>
  <c r="D2" i="143"/>
  <c r="O25" i="137"/>
  <c r="B25" i="137"/>
  <c r="D9" i="145"/>
  <c r="P7" i="143"/>
  <c r="B8" i="146"/>
  <c r="D40" i="133"/>
  <c r="E47" i="133"/>
  <c r="K47" i="133"/>
  <c r="D25" i="144"/>
  <c r="K17" i="144"/>
  <c r="K25" i="144"/>
  <c r="K5" i="144"/>
  <c r="K8" i="144"/>
  <c r="R16" i="143"/>
  <c r="P29" i="145"/>
  <c r="P45" i="145"/>
  <c r="P12" i="145"/>
  <c r="P15" i="145"/>
  <c r="P31" i="145"/>
  <c r="P14" i="145"/>
  <c r="P32" i="145"/>
  <c r="P48" i="145"/>
  <c r="P17" i="145"/>
  <c r="P49" i="145"/>
  <c r="P38" i="145"/>
  <c r="P23" i="145"/>
  <c r="P40" i="145"/>
  <c r="P25" i="145"/>
  <c r="P42" i="145"/>
  <c r="P27" i="145"/>
  <c r="P28" i="145"/>
  <c r="P30" i="145"/>
  <c r="P46" i="145"/>
  <c r="P13" i="145"/>
  <c r="P47" i="145"/>
  <c r="P16" i="145"/>
  <c r="P10" i="145"/>
  <c r="P33" i="145"/>
  <c r="P54" i="145"/>
  <c r="P55" i="145"/>
  <c r="P56" i="145"/>
  <c r="P41" i="145"/>
  <c r="P58" i="145"/>
  <c r="P59" i="145"/>
  <c r="P60" i="145"/>
  <c r="P18" i="145"/>
  <c r="P34" i="145"/>
  <c r="P50" i="145"/>
  <c r="P19" i="145"/>
  <c r="P35" i="145"/>
  <c r="P51" i="145"/>
  <c r="P20" i="145"/>
  <c r="P36" i="145"/>
  <c r="P52" i="145"/>
  <c r="P21" i="145"/>
  <c r="P37" i="145"/>
  <c r="P53" i="145"/>
  <c r="P22" i="145"/>
  <c r="P39" i="145"/>
  <c r="P24" i="145"/>
  <c r="P57" i="145"/>
  <c r="P26" i="145"/>
  <c r="P43" i="145"/>
  <c r="P44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<sst xmlns="http://schemas.openxmlformats.org/spreadsheetml/2006/main" count="875" uniqueCount="465">
  <si>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</si>
  <si>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</si>
  <si>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</si>
  <si>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</si>
  <si>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</si>
  <si>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</si>
  <si>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</si>
  <si>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</si>
  <si>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</si>
  <si>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</si>
  <si>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</si>
  <si>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</si>
  <si>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</si>
  <si>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</si>
  <si>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</si>
  <si>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</si>
  <si>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</si>
  <si>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</si>
  <si>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</si>
  <si>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</si>
  <si>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</si>
  <si>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</si>
  <si>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</si>
  <si>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</si>
  <si>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</si>
  <si>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</si>
  <si>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</si>
  <si>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</si>
  <si>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</si>
  <si>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</si>
  <si>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</si>
  <si>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</si>
  <si>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</si>
  <si>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</si>
  <si>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</si>
  <si>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</si>
  <si>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</si>
  <si>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</si>
  <si>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</si>
  <si>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</si>
  <si>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</si>
  <si>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</si>
  <si>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</si>
  <si>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</si>
  <si>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</si>
  <si>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</si>
  <si>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</si>
  <si>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</si>
  <si>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</si>
  <si>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</si>
  <si>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</si>
  <si>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</si>
  <si>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</si>
  <si>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</si>
  <si>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</si>
  <si>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</si>
  <si>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</si>
  <si>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</si>
  <si>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</si>
  <si>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</si>
  <si>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</si>
  <si>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</si>
  <si>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</si>
  <si>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</si>
  <si>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</si>
  <si>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</si>
  <si>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</si>
  <si>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</si>
  <si>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</si>
  <si>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</si>
  <si>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</si>
  <si>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</si>
  <si>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</si>
  <si>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</si>
  <si>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</si>
  <si>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</si>
  <si>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</si>
  <si>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</si>
  <si>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</si>
  <si>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</si>
  <si>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</si>
  <si>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</si>
  <si>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</si>
  <si>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</si>
  <si>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</si>
  <si>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</si>
  <si>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</si>
  <si>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</si>
  <si>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</si>
  <si>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</si>
  <si>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</si>
  <si>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</si>
  <si>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</si>
  <si>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</si>
  <si>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</si>
  <si>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</si>
  <si>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</si>
  <si>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</si>
  <si>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</si>
  <si>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</si>
  <si>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</si>
  <si>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</si>
  <si>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</si>
  <si>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</si>
  <si>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</si>
  <si>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</si>
  <si>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</si>
  <si>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</si>
  <si>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</si>
  <si>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</si>
  <si>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</si>
  <si>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</si>
  <si>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</si>
  <si>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</si>
  <si>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</si>
  <si>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</si>
  <si>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</si>
  <si>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</si>
  <si>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</si>
  <si>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</si>
  <si>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</si>
  <si>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</si>
  <si>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</si>
  <si>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</si>
  <si>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</si>
  <si>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</si>
  <si>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</si>
  <si>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</si>
  <si>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</si>
  <si>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</si>
  <si>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</si>
  <si>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</si>
  <si>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</si>
  <si>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</si>
  <si>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</si>
  <si>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</si>
  <si>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</si>
  <si>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</si>
  <si>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</si>
  <si>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</si>
  <si>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</si>
  <si>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</si>
  <si>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</si>
  <si>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</si>
  <si>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</si>
  <si>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</si>
  <si>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</si>
  <si>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</si>
  <si>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</si>
  <si>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</si>
  <si>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</si>
  <si>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</si>
  <si>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</si>
  <si>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</si>
  <si>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</si>
  <si>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</si>
  <si>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</si>
  <si>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</si>
  <si>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</si>
  <si>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</si>
  <si>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</si>
  <si>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</si>
  <si>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</si>
  <si>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</si>
  <si>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</si>
  <si>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</si>
  <si>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</si>
  <si>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</si>
  <si>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</si>
  <si>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</si>
  <si>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</si>
  <si>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</si>
  <si>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</si>
  <si>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</si>
  <si>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</si>
  <si>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</si>
  <si>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</si>
  <si>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</si>
  <si>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</si>
  <si>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</si>
  <si>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</si>
  <si>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</si>
  <si>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</si>
  <si>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</si>
  <si>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</si>
  <si>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</si>
  <si>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</si>
  <si>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</si>
  <si>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</si>
  <si>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</si>
  <si>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</si>
  <si>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</si>
  <si>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</si>
  <si>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</si>
  <si>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</si>
  <si>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</si>
  <si>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</si>
  <si>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</si>
  <si>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</si>
  <si>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</si>
  <si>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</si>
  <si>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</si>
  <si>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</si>
  <si>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</si>
  <si>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</si>
  <si>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</si>
  <si>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</si>
  <si>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</si>
  <si>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</si>
  <si>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</si>
  <si>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</si>
  <si>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</si>
  <si>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</si>
  <si>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</si>
  <si>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</si>
  <si>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</si>
  <si>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</si>
  <si>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</si>
  <si>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</si>
  <si>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</si>
  <si>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</si>
  <si>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</si>
  <si>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</si>
  <si>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</si>
  <si>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</si>
  <si>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</si>
  <si>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</si>
  <si>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</si>
  <si>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</si>
  <si>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</si>
  <si>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</si>
  <si>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</si>
  <si>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</si>
  <si>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</si>
  <si>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</si>
  <si>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</si>
  <si>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</si>
  <si>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</si>
  <si>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</si>
  <si>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</si>
  <si>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</si>
  <si>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</si>
  <si>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</si>
  <si>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</si>
  <si>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</si>
  <si>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</si>
  <si>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</si>
  <si>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</si>
  <si>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</si>
  <si>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</si>
  <si>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</si>
  <si>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</si>
  <si>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</si>
  <si>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</si>
  <si>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</si>
  <si>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</si>
  <si>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</si>
  <si>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</si>
  <si>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</si>
  <si>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</si>
  <si>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</si>
  <si>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</si>
  <si>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</si>
  <si>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</si>
  <si>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</si>
  <si>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</si>
  <si>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</si>
  <si>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</si>
  <si>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</si>
  <si>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</si>
  <si>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</si>
  <si>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</si>
  <si>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</si>
  <si>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</si>
  <si>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</si>
  <si>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</si>
  <si>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</si>
  <si>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</si>
  <si>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</si>
  <si>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</si>
  <si>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</si>
  <si>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</si>
  <si>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</si>
  <si>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</si>
  <si>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</si>
  <si>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</si>
  <si>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</si>
  <si>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</si>
  <si>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</si>
  <si>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</si>
  <si>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</si>
  <si>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</si>
  <si>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</si>
  <si>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</si>
  <si>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</si>
  <si>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</si>
  <si>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</si>
  <si>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</si>
  <si>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</si>
  <si>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</si>
  <si>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</si>
  <si>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</si>
  <si>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</si>
  <si>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</si>
  <si>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</si>
  <si>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</si>
  <si>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</si>
  <si>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</si>
  <si>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</si>
  <si>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</si>
  <si>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</si>
  <si>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</si>
  <si>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</si>
  <si>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</si>
  <si>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</si>
  <si>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</si>
  <si>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</si>
  <si>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</si>
  <si>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</si>
  <si>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</si>
  <si>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</si>
  <si>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</si>
  <si>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</si>
  <si>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</si>
  <si>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</si>
  <si>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</si>
  <si>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</si>
  <si>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</si>
  <si>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</si>
  <si>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</si>
  <si>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</si>
  <si>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</si>
  <si>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</si>
  <si>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</si>
  <si>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</si>
  <si>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</si>
  <si>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</si>
  <si>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</si>
  <si>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</si>
  <si>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</si>
  <si>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</si>
  <si>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</si>
  <si>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</si>
  <si>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</si>
  <si>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</si>
  <si>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</si>
  <si>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</si>
  <si>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</si>
  <si>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</si>
  <si>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</si>
  <si>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</si>
  <si>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</si>
  <si>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</si>
  <si>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</si>
  <si>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</si>
  <si>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</si>
  <si>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</si>
  <si>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</si>
  <si>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</si>
  <si>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</si>
  <si>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</si>
  <si>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</si>
  <si>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</si>
  <si>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</si>
  <si>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</si>
  <si>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</si>
  <si>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</si>
  <si>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</si>
  <si>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</si>
  <si>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</si>
  <si>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</si>
  <si>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</si>
  <si>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</si>
  <si>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</si>
  <si>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</si>
  <si>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</si>
  <si>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</si>
  <si>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</si>
  <si>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</si>
  <si>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</si>
  <si>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</si>
  <si>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</si>
  <si>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</si>
  <si>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</si>
  <si>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</si>
  <si>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</si>
  <si>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</si>
  <si>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</si>
  <si>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</si>
  <si>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</si>
  <si>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</si>
  <si>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</si>
  <si>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</si>
  <si>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</si>
  <si>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</si>
  <si>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</si>
  <si>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</si>
  <si>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</si>
  <si>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</si>
  <si>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</si>
  <si>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</si>
  <si>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</si>
  <si>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</si>
  <si>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</si>
  <si>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</si>
  <si>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</si>
  <si>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</si>
  <si>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</si>
  <si>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</si>
  <si>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</si>
  <si>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</si>
  <si>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</si>
  <si>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</si>
  <si>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</si>
  <si>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</si>
  <si>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</si>
  <si>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</si>
  <si>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</si>
  <si>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</si>
  <si>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</si>
  <si>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</si>
  <si>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</si>
  <si>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</si>
  <si>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</si>
  <si>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</si>
  <si>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</si>
  <si>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</si>
  <si>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</si>
  <si>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</si>
  <si>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</si>
  <si>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</si>
  <si>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</si>
  <si>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</si>
  <si>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</si>
  <si>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</si>
  <si>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</si>
  <si>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</si>
  <si>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</si>
  <si>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</si>
  <si>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</si>
  <si>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</si>
  <si>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</si>
  <si>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</si>
  <si>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</si>
  <si>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</si>
  <si>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</si>
  <si>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</si>
  <si>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</si>
  <si>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LO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</si>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</sst>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3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19</xdr:row>
      <xdr:rowOff>17751</xdr:rowOff>
    </xdr:from>
    <xdr:to>
      <xdr:col>10</xdr:col>
      <xdr:colOff>92721</xdr:colOff>
      <xdr:row>24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256</v>
      </c>
      <c r="B1" s="173"/>
      <c r="C1" s="173"/>
      <c r="D1" s="173"/>
      <c r="V1" s="178" t="s">
        <v>257</v>
      </c>
    </row>
    <row r="2" spans="1:32" ht="15.75" thickBot="1" x14ac:dyDescent="0.3">
      <c r="A2" s="281" t="s">
        <v>142</v>
      </c>
      <c r="B2" s="282"/>
      <c r="C2" s="282"/>
      <c r="D2" s="282"/>
      <c r="E2" s="283"/>
      <c r="F2" s="281" t="s">
        <v>258</v>
      </c>
      <c r="G2" s="282"/>
      <c r="H2" s="282"/>
      <c r="I2" s="283"/>
      <c r="J2" s="287" t="s">
        <v>259</v>
      </c>
      <c r="K2" s="288"/>
      <c r="L2" s="288"/>
      <c r="M2" s="289"/>
      <c r="N2" s="281" t="s">
        <v>260</v>
      </c>
      <c r="O2" s="282"/>
      <c r="P2" s="282"/>
      <c r="Q2" s="282"/>
      <c r="R2" s="283"/>
      <c r="V2" s="179" t="s">
        <v>142</v>
      </c>
      <c r="W2" s="278" t="s">
        <v>261</v>
      </c>
      <c r="X2" s="279"/>
      <c r="Y2" s="279"/>
      <c r="Z2" s="279"/>
      <c r="AA2" s="280"/>
      <c r="AB2" s="278" t="s">
        <v>262</v>
      </c>
      <c r="AC2" s="279"/>
      <c r="AD2" s="279"/>
      <c r="AE2" s="279"/>
      <c r="AF2" s="280"/>
    </row>
    <row r="3" spans="1:32" ht="24.6" customHeight="1" thickBot="1" x14ac:dyDescent="0.3">
      <c r="A3" s="281" t="s">
        <v>263</v>
      </c>
      <c r="B3" s="282"/>
      <c r="C3" s="282"/>
      <c r="D3" s="282"/>
      <c r="E3" s="283"/>
      <c r="F3" s="180">
        <v>5</v>
      </c>
      <c r="G3" s="180" t="s">
        <v>264</v>
      </c>
      <c r="H3" s="180" t="s">
        <v>265</v>
      </c>
      <c r="I3" s="181">
        <v>10</v>
      </c>
      <c r="J3" s="182">
        <v>5</v>
      </c>
      <c r="K3" s="180" t="s">
        <v>264</v>
      </c>
      <c r="L3" s="183" t="s">
        <v>265</v>
      </c>
      <c r="M3" s="182">
        <v>10</v>
      </c>
      <c r="N3" s="180">
        <v>5</v>
      </c>
      <c r="O3" s="181" t="s">
        <v>264</v>
      </c>
      <c r="P3" s="182" t="s">
        <v>265</v>
      </c>
      <c r="Q3" s="182"/>
      <c r="R3" s="180">
        <v>10</v>
      </c>
      <c r="V3" s="184" t="s">
        <v>266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4" t="s">
        <v>267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5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268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5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5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269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5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5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270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5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6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4" t="s">
        <v>271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5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5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5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5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5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5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6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272</v>
      </c>
      <c r="C23" s="196"/>
      <c r="D23" s="196"/>
      <c r="E23" s="196" t="s">
        <v>273</v>
      </c>
      <c r="F23" s="196"/>
      <c r="G23" s="174" t="s">
        <v>274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275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8" customFormat="1" x14ac:dyDescent="0.25">
      <c r="A26" s="198" t="s">
        <v>278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279</v>
      </c>
    </row>
    <row r="27" spans="1:24" x14ac:dyDescent="0.25">
      <c r="A27" s="174" t="s">
        <v>280</v>
      </c>
      <c r="E27" s="174">
        <f>(E50+E52+E51)*0.2777778</f>
        <v>19062.637636122003</v>
      </c>
    </row>
    <row r="28" spans="1:24" s="200" customFormat="1" x14ac:dyDescent="0.25">
      <c r="A28" s="200" t="s">
        <v>281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282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283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284</v>
      </c>
      <c r="E31" s="202"/>
      <c r="O31" s="203">
        <f>(O26-E26)/E26</f>
        <v>-1</v>
      </c>
    </row>
    <row r="32" spans="1:24" s="204" customFormat="1" x14ac:dyDescent="0.25">
      <c r="A32" s="204" t="s">
        <v>285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286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287</v>
      </c>
    </row>
    <row r="39" spans="1:20" s="206" customFormat="1" x14ac:dyDescent="0.25">
      <c r="A39" s="206" t="s">
        <v>288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289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290</v>
      </c>
    </row>
    <row r="41" spans="1:20" s="206" customFormat="1" x14ac:dyDescent="0.25">
      <c r="A41" s="206" t="s">
        <v>291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292</v>
      </c>
    </row>
    <row r="42" spans="1:20" s="206" customFormat="1" x14ac:dyDescent="0.25">
      <c r="A42" s="206" t="s">
        <v>293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294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295</v>
      </c>
      <c r="E45" s="212">
        <f>E39/(E38+E39)</f>
        <v>0.78227062033730832</v>
      </c>
    </row>
    <row r="46" spans="1:20" x14ac:dyDescent="0.25">
      <c r="A46" s="174" t="s">
        <v>296</v>
      </c>
      <c r="E46" s="202">
        <f>E38/(E38+E39)</f>
        <v>0.21772937966269174</v>
      </c>
    </row>
    <row r="47" spans="1:20" x14ac:dyDescent="0.25">
      <c r="A47" s="206" t="s">
        <v>297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298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299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300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301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302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303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304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305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306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307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308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309</v>
      </c>
      <c r="G63" s="174" t="s">
        <v>310</v>
      </c>
      <c r="J63" s="218" t="s">
        <v>311</v>
      </c>
      <c r="O63" s="219"/>
      <c r="P63" s="219" t="s">
        <v>312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313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314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315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316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317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318</v>
      </c>
    </row>
    <row r="69" spans="1:25" s="227" customFormat="1" x14ac:dyDescent="0.25">
      <c r="A69" s="227" t="s">
        <v>319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320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321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322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323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324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325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326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327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328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329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330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331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332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333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334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335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336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337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338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339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340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341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342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343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344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345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346</v>
      </c>
    </row>
    <row r="109" spans="1:19" x14ac:dyDescent="0.25">
      <c r="A109" s="174" t="s">
        <v>347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348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302</v>
      </c>
      <c r="K1" s="245" t="s">
        <v>317</v>
      </c>
      <c r="L1" s="245" t="s">
        <v>319</v>
      </c>
      <c r="M1" s="245" t="s">
        <v>320</v>
      </c>
      <c r="N1" s="245" t="s">
        <v>321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302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317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319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320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321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349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350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2" t="s">
        <v>352</v>
      </c>
      <c r="D1" s="292"/>
      <c r="E1" s="292"/>
      <c r="F1" s="292"/>
      <c r="G1" s="292" t="s">
        <v>353</v>
      </c>
      <c r="H1" s="292"/>
      <c r="I1" s="292"/>
      <c r="J1" s="292"/>
      <c r="K1" s="292" t="s">
        <v>354</v>
      </c>
      <c r="L1" s="292"/>
      <c r="M1" s="292" t="s">
        <v>355</v>
      </c>
      <c r="N1" s="292"/>
      <c r="O1" s="292" t="s">
        <v>356</v>
      </c>
      <c r="P1" s="292"/>
      <c r="Q1" s="292"/>
      <c r="R1" s="292" t="s">
        <v>356</v>
      </c>
      <c r="S1" s="292"/>
      <c r="T1" s="292"/>
      <c r="U1" s="292" t="s">
        <v>356</v>
      </c>
      <c r="V1" s="292"/>
      <c r="W1" s="292"/>
      <c r="X1" s="20" t="s">
        <v>357</v>
      </c>
      <c r="Y1" s="292" t="s">
        <v>358</v>
      </c>
      <c r="Z1" s="292"/>
      <c r="AA1" s="292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2" t="s">
        <v>360</v>
      </c>
      <c r="P2" s="292"/>
      <c r="Q2" s="292"/>
      <c r="R2" s="292" t="s">
        <v>363</v>
      </c>
      <c r="S2" s="292"/>
      <c r="T2" s="292"/>
      <c r="U2" s="292" t="s">
        <v>362</v>
      </c>
      <c r="V2" s="292"/>
      <c r="W2" s="292"/>
      <c r="X2" s="20" t="s">
        <v>112</v>
      </c>
      <c r="Y2" s="292" t="s">
        <v>364</v>
      </c>
      <c r="Z2" s="292"/>
      <c r="AA2" s="292"/>
    </row>
    <row r="3" spans="1:27" s="20" customFormat="1" x14ac:dyDescent="0.2">
      <c r="A3" s="20" t="s">
        <v>359</v>
      </c>
      <c r="O3" s="248" t="s">
        <v>365</v>
      </c>
      <c r="P3" s="248" t="s">
        <v>366</v>
      </c>
      <c r="Q3" s="248" t="s">
        <v>367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50" t="s">
        <v>372</v>
      </c>
      <c r="H7" s="250">
        <v>2.1000000000000001E-2</v>
      </c>
      <c r="I7" s="250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50" t="s">
        <v>373</v>
      </c>
      <c r="H8" s="250">
        <v>7.9000000000000001E-2</v>
      </c>
      <c r="I8" s="250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50">
        <v>0.11899999999999999</v>
      </c>
      <c r="I9" s="250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0" t="str">
        <f t="shared" si="1"/>
        <v>Installation Cost per kW</v>
      </c>
      <c r="D17" s="290"/>
      <c r="E17" s="290"/>
      <c r="F17" s="290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51"/>
      <c r="D18" s="251"/>
      <c r="E18" s="251" t="s">
        <v>387</v>
      </c>
      <c r="F18" s="251"/>
      <c r="G18" t="s">
        <v>387</v>
      </c>
      <c r="H18" t="s">
        <v>387</v>
      </c>
      <c r="I18" s="251" t="s">
        <v>388</v>
      </c>
      <c r="J18" s="251" t="s">
        <v>388</v>
      </c>
      <c r="K18" s="251" t="s">
        <v>388</v>
      </c>
      <c r="L18" s="251"/>
      <c r="M18" s="251" t="s">
        <v>112</v>
      </c>
      <c r="N18" s="251" t="s">
        <v>389</v>
      </c>
      <c r="O18" s="251" t="s">
        <v>389</v>
      </c>
      <c r="P18" s="251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1" t="s">
        <v>414</v>
      </c>
      <c r="D42" s="291"/>
      <c r="E42" s="291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2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2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C46" zoomScale="122" zoomScaleNormal="122" workbookViewId="0">
      <selection activeCell="O56" sqref="O56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457</v>
      </c>
      <c r="N51" t="s">
        <v>458</v>
      </c>
      <c r="O51" t="s">
        <v>459</v>
      </c>
    </row>
    <row r="52" spans="2:15" x14ac:dyDescent="0.2">
      <c r="C52" t="s">
        <v>434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1" si="4">G53/E53</f>
        <v>1.372765656211179</v>
      </c>
      <c r="J53" s="253">
        <f t="shared" ref="J53:J64" si="5">1/(G$51-E$51)</f>
        <v>0.5</v>
      </c>
      <c r="K53" s="263">
        <f t="shared" ref="K53:K64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7" customFormat="1" ht="15" x14ac:dyDescent="0.25">
      <c r="C54" s="257" t="s">
        <v>436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4"/>
        <v>1.0345078173552369</v>
      </c>
      <c r="J54" s="258">
        <f t="shared" si="5"/>
        <v>0.5</v>
      </c>
      <c r="K54" s="264">
        <f t="shared" si="6"/>
        <v>1.7107574131289605E-2</v>
      </c>
      <c r="L54" s="259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4" customFormat="1" ht="15" x14ac:dyDescent="0.25">
      <c r="C55" s="254" t="s">
        <v>439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4"/>
        <v>1.1774614468001567</v>
      </c>
      <c r="J55" s="255">
        <f t="shared" si="5"/>
        <v>0.5</v>
      </c>
      <c r="K55" s="265">
        <f t="shared" si="6"/>
        <v>8.5108956188343576E-2</v>
      </c>
      <c r="L55" s="256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60">
        <f>D52+D53</f>
        <v>4447.650555555555</v>
      </c>
      <c r="E56" s="260">
        <f t="shared" ref="E56:H56" si="9">E52+E53</f>
        <v>3906.7316666666666</v>
      </c>
      <c r="F56" s="260">
        <f t="shared" si="9"/>
        <v>4859.4383333333335</v>
      </c>
      <c r="G56" s="260">
        <f t="shared" si="9"/>
        <v>7676.0611111111102</v>
      </c>
      <c r="H56" s="260">
        <f t="shared" si="9"/>
        <v>8151.0666666666657</v>
      </c>
      <c r="I56" s="253">
        <f t="shared" si="4"/>
        <v>1.9648293678845217</v>
      </c>
      <c r="J56" s="253">
        <f t="shared" si="5"/>
        <v>0.5</v>
      </c>
      <c r="K56" s="263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60">
        <f>D54+D56</f>
        <v>6980.9844444444443</v>
      </c>
      <c r="E57" s="260">
        <f t="shared" ref="E57:H57" si="10">E54+E56</f>
        <v>6424.9533333333329</v>
      </c>
      <c r="F57" s="260">
        <f t="shared" si="10"/>
        <v>7390.9938888888892</v>
      </c>
      <c r="G57" s="260">
        <f t="shared" si="10"/>
        <v>10281.181111111111</v>
      </c>
      <c r="H57" s="260">
        <f t="shared" si="10"/>
        <v>10943.013333333332</v>
      </c>
      <c r="I57" s="253">
        <f t="shared" si="4"/>
        <v>1.6001954532138409</v>
      </c>
      <c r="J57" s="253">
        <f t="shared" si="5"/>
        <v>0.5</v>
      </c>
      <c r="K57" s="263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3"/>
      <c r="J58" s="253"/>
      <c r="K58" s="263"/>
      <c r="L58" s="113"/>
      <c r="M58" s="113"/>
      <c r="N58" s="113"/>
      <c r="O58" s="113"/>
    </row>
    <row r="59" spans="2:15" x14ac:dyDescent="0.2">
      <c r="C59" t="s">
        <v>437</v>
      </c>
      <c r="I59" s="253"/>
      <c r="J59" s="253"/>
      <c r="K59" s="263"/>
      <c r="L59" s="113"/>
      <c r="M59" s="113"/>
      <c r="N59" s="113"/>
      <c r="O59" s="113"/>
    </row>
    <row r="60" spans="2:15" x14ac:dyDescent="0.2">
      <c r="C60" t="s">
        <v>445</v>
      </c>
      <c r="I60" s="253"/>
      <c r="J60" s="253"/>
      <c r="K60" s="263"/>
      <c r="L60" s="113"/>
      <c r="M60" s="113"/>
      <c r="N60" s="113"/>
      <c r="O60" s="113"/>
    </row>
    <row r="61" spans="2:15" x14ac:dyDescent="0.2">
      <c r="B61" t="s">
        <v>110</v>
      </c>
      <c r="C61" t="s">
        <v>460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3">
        <f t="shared" si="4"/>
        <v>1.000990099009901</v>
      </c>
      <c r="J61" s="253">
        <f t="shared" si="5"/>
        <v>0.5</v>
      </c>
      <c r="K61" s="263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451</v>
      </c>
      <c r="D62" s="260">
        <f>0.8*D54</f>
        <v>2026.6671111111111</v>
      </c>
      <c r="E62" s="260">
        <f t="shared" ref="E62:H62" si="12">0.8*E54</f>
        <v>2014.5773333333336</v>
      </c>
      <c r="F62" s="260">
        <f t="shared" si="12"/>
        <v>2025.2444444444445</v>
      </c>
      <c r="G62" s="260">
        <f t="shared" si="12"/>
        <v>2084.0960000000005</v>
      </c>
      <c r="H62" s="260">
        <f t="shared" si="12"/>
        <v>2233.5573333333336</v>
      </c>
      <c r="I62" s="253">
        <f>H62/G62</f>
        <v>1.0717151865045242</v>
      </c>
      <c r="J62" s="253">
        <f t="shared" si="5"/>
        <v>0.5</v>
      </c>
      <c r="K62" s="263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60">
        <f>D55*$B$63</f>
        <v>2791.0050000000001</v>
      </c>
      <c r="E63" s="260">
        <f t="shared" ref="E63:H63" si="13">E55*$B$63</f>
        <v>2430.2799722222217</v>
      </c>
      <c r="F63" s="260">
        <f t="shared" si="13"/>
        <v>2683.0269444444443</v>
      </c>
      <c r="G63" s="260">
        <f t="shared" si="13"/>
        <v>2861.5609722222221</v>
      </c>
      <c r="H63" s="260">
        <f t="shared" si="13"/>
        <v>3440.232361111111</v>
      </c>
      <c r="I63" s="253">
        <f>H63/G63</f>
        <v>1.2022222816519286</v>
      </c>
      <c r="J63" s="253">
        <f t="shared" si="5"/>
        <v>0.5</v>
      </c>
      <c r="K63" s="263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452</v>
      </c>
      <c r="D64" s="260">
        <f>0.55*D56</f>
        <v>2446.2078055555553</v>
      </c>
      <c r="E64" s="260">
        <f t="shared" ref="E64:H64" si="14">0.55*E56</f>
        <v>2148.702416666667</v>
      </c>
      <c r="F64" s="260">
        <f t="shared" si="14"/>
        <v>2672.6910833333336</v>
      </c>
      <c r="G64" s="260">
        <f t="shared" si="14"/>
        <v>4221.8336111111112</v>
      </c>
      <c r="H64" s="260">
        <f t="shared" si="14"/>
        <v>4483.0866666666661</v>
      </c>
      <c r="I64" s="253">
        <f>H64/G64</f>
        <v>1.0618814192174659</v>
      </c>
      <c r="J64" s="253">
        <f t="shared" si="5"/>
        <v>0.5</v>
      </c>
      <c r="K64" s="263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I23" sqref="I23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448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448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448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448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A4" zoomScale="118" zoomScaleNormal="118" workbookViewId="0">
      <selection activeCell="E16" sqref="E16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267" t="s">
        <v>451</v>
      </c>
      <c r="Q5" s="267" t="s">
        <v>453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267" t="s">
        <v>82</v>
      </c>
      <c r="O8" s="93"/>
      <c r="P8" s="267" t="s">
        <v>452</v>
      </c>
      <c r="Q8" s="267" t="s">
        <v>454</v>
      </c>
      <c r="R8" s="267" t="s">
        <v>162</v>
      </c>
      <c r="S8" s="93"/>
      <c r="T8" s="93"/>
      <c r="U8" s="93"/>
      <c r="V8" s="93"/>
    </row>
    <row r="9" spans="2:22" x14ac:dyDescent="0.2">
      <c r="N9" s="267" t="s">
        <v>82</v>
      </c>
      <c r="O9" s="93"/>
      <c r="P9" s="267" t="s">
        <v>461</v>
      </c>
      <c r="Q9" s="267" t="s">
        <v>462</v>
      </c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447</v>
      </c>
      <c r="G13" s="98" t="s">
        <v>106</v>
      </c>
      <c r="H13" s="98" t="s">
        <v>107</v>
      </c>
      <c r="I13" s="98" t="s">
        <v>108</v>
      </c>
      <c r="J13" s="98" t="s">
        <v>449</v>
      </c>
      <c r="K13" s="98" t="s">
        <v>172</v>
      </c>
      <c r="L13" s="100" t="s">
        <v>173</v>
      </c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34.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450</v>
      </c>
      <c r="K14" s="101" t="s">
        <v>174</v>
      </c>
      <c r="L14" s="102" t="s">
        <v>175</v>
      </c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238</v>
      </c>
      <c r="F15" s="104"/>
      <c r="G15" s="104" t="s">
        <v>388</v>
      </c>
      <c r="H15" s="105" t="s">
        <v>388</v>
      </c>
      <c r="I15" s="104" t="s">
        <v>112</v>
      </c>
      <c r="J15" s="104"/>
      <c r="K15" s="104"/>
      <c r="L15" s="105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P8</f>
        <v>MANHEATCOAL</v>
      </c>
      <c r="E16" s="109">
        <f>PRI_Sector_Fuels!I23/(8.76)</f>
        <v>515.79912802191791</v>
      </c>
      <c r="F16" s="106">
        <v>0.59</v>
      </c>
      <c r="G16" s="107">
        <v>0.55000000000000004</v>
      </c>
      <c r="H16" s="107">
        <v>1</v>
      </c>
      <c r="I16" s="132">
        <v>30</v>
      </c>
      <c r="J16" s="132">
        <v>9999</v>
      </c>
      <c r="K16" s="108">
        <v>1515</v>
      </c>
      <c r="L16" s="108"/>
      <c r="M16" s="114"/>
      <c r="N16" s="91" t="s">
        <v>113</v>
      </c>
      <c r="P16" s="91" t="s">
        <v>153</v>
      </c>
      <c r="Q16" s="91" t="s">
        <v>239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>P$8</f>
        <v>MANHEATCOAL</v>
      </c>
      <c r="E17" s="109">
        <f>PRI_Sector_Fuels!I24/(8.76)</f>
        <v>360.46365770568497</v>
      </c>
      <c r="F17" s="106">
        <v>0.41</v>
      </c>
      <c r="G17" s="107">
        <v>0.55000000000000004</v>
      </c>
      <c r="H17" s="107">
        <v>1</v>
      </c>
      <c r="I17" s="132">
        <v>30</v>
      </c>
      <c r="J17" s="132">
        <v>9999</v>
      </c>
      <c r="K17" s="108">
        <v>1515</v>
      </c>
      <c r="L17" s="108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ref="D18" si="0">P$5</f>
        <v>MANHEATOIL</v>
      </c>
      <c r="E18" s="109">
        <f>PRI_Sector_Fuels!I25/(8.76)</f>
        <v>297.38815164493155</v>
      </c>
      <c r="F18" s="106">
        <v>1</v>
      </c>
      <c r="G18" s="107">
        <v>0.8</v>
      </c>
      <c r="H18" s="109">
        <v>1</v>
      </c>
      <c r="I18" s="108">
        <v>30</v>
      </c>
      <c r="J18" s="132">
        <v>9999</v>
      </c>
      <c r="K18" s="108">
        <v>1212</v>
      </c>
      <c r="L18" s="108"/>
      <c r="M18" s="114"/>
      <c r="N18" s="91" t="s">
        <v>113</v>
      </c>
      <c r="P18" s="163" t="s">
        <v>167</v>
      </c>
      <c r="Q18" s="91" t="s">
        <v>244</v>
      </c>
      <c r="R18" s="91" t="s">
        <v>162</v>
      </c>
      <c r="S18" s="91" t="s">
        <v>154</v>
      </c>
      <c r="T18" s="171" t="s">
        <v>250</v>
      </c>
    </row>
    <row r="19" spans="2:22" s="159" customFormat="1" x14ac:dyDescent="0.2">
      <c r="B19" s="97" t="str">
        <f>P18</f>
        <v>MANELC</v>
      </c>
      <c r="C19" s="97" t="str">
        <f>PRI_Sector_Fuels!O8</f>
        <v>ELC</v>
      </c>
      <c r="D19" s="93" t="str">
        <f>P6</f>
        <v>MANELC</v>
      </c>
      <c r="E19" s="109">
        <f>PRI_Sector_Fuels!I26/(8.76)</f>
        <v>326.66223757386985</v>
      </c>
      <c r="F19" s="162">
        <v>1</v>
      </c>
      <c r="G19" s="159">
        <v>1</v>
      </c>
      <c r="H19" s="159">
        <v>1</v>
      </c>
      <c r="I19" s="159">
        <v>50</v>
      </c>
      <c r="J19" s="132">
        <v>9999</v>
      </c>
      <c r="K19" s="159">
        <v>1111</v>
      </c>
      <c r="N19" s="159" t="s">
        <v>113</v>
      </c>
      <c r="P19" s="159" t="s">
        <v>464</v>
      </c>
      <c r="Q19" s="159" t="s">
        <v>463</v>
      </c>
      <c r="R19" s="97" t="s">
        <v>162</v>
      </c>
      <c r="S19" s="97" t="s">
        <v>154</v>
      </c>
      <c r="T19" s="172"/>
    </row>
    <row r="20" spans="2:22" s="159" customFormat="1" x14ac:dyDescent="0.2">
      <c r="B20" s="97" t="str">
        <f>P19</f>
        <v>PHEAT</v>
      </c>
      <c r="C20" s="160" t="str">
        <f>DemTechs_INDF!D16</f>
        <v>MANHEATCOAL</v>
      </c>
      <c r="D20" s="93" t="str">
        <f>P9</f>
        <v>MANHEAT</v>
      </c>
      <c r="E20" s="161">
        <f>E16+E17</f>
        <v>876.26278572760293</v>
      </c>
      <c r="F20" s="162">
        <v>0.75</v>
      </c>
      <c r="G20" s="159">
        <v>1</v>
      </c>
      <c r="H20" s="159">
        <v>1</v>
      </c>
      <c r="I20" s="159">
        <v>1</v>
      </c>
      <c r="J20" s="159">
        <v>9999</v>
      </c>
      <c r="K20" s="159">
        <v>0</v>
      </c>
      <c r="R20" s="97"/>
      <c r="S20" s="97"/>
    </row>
    <row r="21" spans="2:22" s="159" customFormat="1" x14ac:dyDescent="0.2">
      <c r="B21" s="97" t="str">
        <f>P19</f>
        <v>PHEAT</v>
      </c>
      <c r="C21" s="160" t="str">
        <f>D18</f>
        <v>MANHEATOIL</v>
      </c>
      <c r="D21" s="93" t="str">
        <f>P9</f>
        <v>MANHEAT</v>
      </c>
      <c r="E21" s="161">
        <f>E18</f>
        <v>297.38815164493155</v>
      </c>
      <c r="F21" s="162">
        <v>0.25</v>
      </c>
      <c r="G21" s="159">
        <v>1</v>
      </c>
      <c r="H21" s="159">
        <v>1</v>
      </c>
      <c r="I21" s="159">
        <v>1</v>
      </c>
      <c r="J21" s="159">
        <v>999</v>
      </c>
      <c r="K21" s="159">
        <v>0</v>
      </c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  <c r="K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  <c r="K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  <c r="K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235</v>
      </c>
      <c r="F33" s="91" t="s">
        <v>237</v>
      </c>
      <c r="H33" s="111"/>
    </row>
    <row r="35" spans="5:8" x14ac:dyDescent="0.2">
      <c r="E35" s="91" t="s">
        <v>236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1"/>
  <sheetViews>
    <sheetView tabSelected="1" topLeftCell="C6" zoomScale="226" zoomScaleNormal="226" workbookViewId="0">
      <selection activeCell="M16" sqref="M16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ht="13.5" thickBot="1" x14ac:dyDescent="0.25">
      <c r="B9" s="122" t="s">
        <v>181</v>
      </c>
      <c r="C9" s="122" t="str">
        <f>DemTechs_INDF!P5</f>
        <v>MANHEATOIL</v>
      </c>
      <c r="D9" s="122" t="str">
        <f>E$2</f>
        <v>GWh</v>
      </c>
      <c r="E9" s="124">
        <f>EBF!D62*DemTechs_INDF!G18</f>
        <v>1621.3336888888889</v>
      </c>
      <c r="F9" s="124">
        <f>E9*(1+$M$9)^(F6-E6)</f>
        <v>1995.7703270219322</v>
      </c>
      <c r="G9" s="124">
        <f t="shared" ref="G9:K9" si="0">F9*(1+$M$9)^(G6-F6)</f>
        <v>2821.6782166652383</v>
      </c>
      <c r="H9" s="124">
        <f t="shared" si="0"/>
        <v>3989.3708462354666</v>
      </c>
      <c r="I9" s="124">
        <f t="shared" si="0"/>
        <v>5640.2886958536692</v>
      </c>
      <c r="J9" s="124">
        <f t="shared" si="0"/>
        <v>7974.4044358760466</v>
      </c>
      <c r="K9" s="124">
        <f t="shared" si="0"/>
        <v>11274.445252007605</v>
      </c>
      <c r="M9" s="152">
        <f>EBF!O54</f>
        <v>7.1715186504524242E-2</v>
      </c>
      <c r="O9" s="9" t="s">
        <v>87</v>
      </c>
      <c r="P9" s="9"/>
      <c r="Q9" s="9"/>
      <c r="R9" s="9"/>
    </row>
    <row r="10" spans="2:18" ht="13.5" thickBot="1" x14ac:dyDescent="0.25">
      <c r="B10" s="122" t="s">
        <v>181</v>
      </c>
      <c r="C10" s="122" t="str">
        <f>DemTechs_INDF!P6</f>
        <v>MANELC</v>
      </c>
      <c r="D10" s="122" t="str">
        <f>E$2</f>
        <v>GWh</v>
      </c>
      <c r="E10" s="124">
        <f>EBF!D63</f>
        <v>2791.0050000000001</v>
      </c>
      <c r="F10" s="124">
        <f>E10*(1+$M$10)^(F6-E6)</f>
        <v>4849.7006557037557</v>
      </c>
      <c r="G10" s="124">
        <f t="shared" ref="G10:K10" si="1">F10*(1+$M$10)^(G6-F6)</f>
        <v>12179.761857336442</v>
      </c>
      <c r="H10" s="124">
        <f t="shared" si="1"/>
        <v>30588.81556472079</v>
      </c>
      <c r="I10" s="124">
        <f t="shared" si="1"/>
        <v>76822.16192830597</v>
      </c>
      <c r="J10" s="124">
        <f t="shared" si="1"/>
        <v>192934.71990937262</v>
      </c>
      <c r="K10" s="124">
        <f t="shared" si="1"/>
        <v>484545.15223415685</v>
      </c>
      <c r="M10" s="153">
        <f>EBF!O55</f>
        <v>0.20222228165192857</v>
      </c>
      <c r="O10" s="1" t="s">
        <v>183</v>
      </c>
      <c r="P10" s="1" t="str">
        <f>DemTechs_INDF!P$6</f>
        <v>MANELC</v>
      </c>
      <c r="Q10" s="91" t="s">
        <v>184</v>
      </c>
      <c r="R10" s="129">
        <v>0.75</v>
      </c>
    </row>
    <row r="11" spans="2:18" ht="13.5" thickBot="1" x14ac:dyDescent="0.25">
      <c r="B11" s="141" t="s">
        <v>181</v>
      </c>
      <c r="C11" s="122" t="str">
        <f>DemTechs_INDF!P8</f>
        <v>MANHEATCOAL</v>
      </c>
      <c r="D11" s="122" t="str">
        <f>E$2</f>
        <v>GWh</v>
      </c>
      <c r="E11" s="124">
        <f>EBF!D64*DemTechs_INDF!G16</f>
        <v>1345.4142930555556</v>
      </c>
      <c r="F11" s="124">
        <f t="shared" ref="F11:K11" si="2">E11*(1+$M$11)^(F6-E6)</f>
        <v>1610.9575697191924</v>
      </c>
      <c r="G11" s="124">
        <f t="shared" si="2"/>
        <v>2175.0247830604294</v>
      </c>
      <c r="H11" s="124">
        <f t="shared" si="2"/>
        <v>2936.5967768795344</v>
      </c>
      <c r="I11" s="124">
        <f t="shared" si="2"/>
        <v>3964.8286755818904</v>
      </c>
      <c r="J11" s="124">
        <f t="shared" si="2"/>
        <v>5353.0898591466066</v>
      </c>
      <c r="K11" s="124">
        <f t="shared" si="2"/>
        <v>7227.4424407235347</v>
      </c>
      <c r="M11" s="153">
        <f>EBF!O56</f>
        <v>6.1881419217466149E-2</v>
      </c>
      <c r="O11" s="1"/>
      <c r="P11" s="1"/>
      <c r="Q11" s="91"/>
      <c r="R11" s="129"/>
    </row>
    <row r="12" spans="2:18" ht="13.5" thickBot="1" x14ac:dyDescent="0.25">
      <c r="B12" s="122"/>
      <c r="C12" s="122"/>
      <c r="D12" s="122"/>
      <c r="E12" s="124"/>
      <c r="F12" s="124"/>
      <c r="K12" s="5"/>
      <c r="M12" s="151"/>
      <c r="O12" s="1" t="s">
        <v>183</v>
      </c>
      <c r="P12" s="1" t="str">
        <f>DemTechs_INDF!P$6</f>
        <v>MANELC</v>
      </c>
      <c r="Q12" s="91" t="s">
        <v>185</v>
      </c>
      <c r="R12" s="129">
        <v>0.25</v>
      </c>
    </row>
    <row r="13" spans="2:18" x14ac:dyDescent="0.2">
      <c r="B13" s="122"/>
      <c r="C13" s="122"/>
      <c r="D13" s="141" t="s">
        <v>248</v>
      </c>
      <c r="E13" s="266">
        <f>E10/(SUM(E9:E11))</f>
        <v>0.48473857922565011</v>
      </c>
      <c r="F13" s="266">
        <f t="shared" ref="F13:K13" si="3">F10/(SUM(F9:F11))</f>
        <v>0.57349277246617714</v>
      </c>
      <c r="G13" s="266">
        <f t="shared" si="3"/>
        <v>0.70909596117088847</v>
      </c>
      <c r="H13" s="266">
        <f t="shared" si="3"/>
        <v>0.8153803105182077</v>
      </c>
      <c r="I13" s="266">
        <f t="shared" si="3"/>
        <v>0.88886474907854374</v>
      </c>
      <c r="J13" s="266">
        <f t="shared" si="3"/>
        <v>0.93538567232767222</v>
      </c>
      <c r="K13" s="266">
        <f t="shared" si="3"/>
        <v>0.9632203626614716</v>
      </c>
      <c r="M13" s="151"/>
      <c r="N13" s="5"/>
      <c r="O13" s="1" t="s">
        <v>183</v>
      </c>
      <c r="P13" s="1" t="str">
        <f>DemTechs_INDF!P$6</f>
        <v>MANELC</v>
      </c>
      <c r="Q13" s="91" t="s">
        <v>186</v>
      </c>
      <c r="R13" s="129">
        <v>1.0416666666666666E-2</v>
      </c>
    </row>
    <row r="14" spans="2:18" x14ac:dyDescent="0.2">
      <c r="B14" s="1"/>
      <c r="D14" t="s">
        <v>456</v>
      </c>
      <c r="E14" s="266">
        <f>E9/(E9+E10+E11)</f>
        <v>0.28159139406868927</v>
      </c>
      <c r="F14" s="266">
        <f t="shared" ref="F14:K14" si="4">F9/(F9+F10+F11)</f>
        <v>0.23600628972912271</v>
      </c>
      <c r="G14" s="266">
        <f t="shared" si="4"/>
        <v>0.1642758413996408</v>
      </c>
      <c r="H14" s="266">
        <f t="shared" si="4"/>
        <v>0.10634130087493145</v>
      </c>
      <c r="I14" s="266">
        <f t="shared" si="4"/>
        <v>6.5260514290775992E-2</v>
      </c>
      <c r="J14" s="266">
        <f t="shared" si="4"/>
        <v>3.8661489534742514E-2</v>
      </c>
      <c r="K14" s="266">
        <f t="shared" si="4"/>
        <v>2.24123081086934E-2</v>
      </c>
      <c r="M14" s="151"/>
      <c r="O14" s="1" t="s">
        <v>183</v>
      </c>
      <c r="P14" s="1" t="str">
        <f>DemTechs_INDF!P$6</f>
        <v>MANELC</v>
      </c>
      <c r="Q14" s="130" t="s">
        <v>187</v>
      </c>
      <c r="R14" s="131">
        <v>1.0416666666666666E-2</v>
      </c>
    </row>
    <row r="15" spans="2:18" x14ac:dyDescent="0.2">
      <c r="D15" t="s">
        <v>455</v>
      </c>
      <c r="E15" s="266">
        <f>E11/(E9+E10+E11)</f>
        <v>0.23367002670566067</v>
      </c>
      <c r="F15" s="266">
        <f t="shared" ref="F15:K15" si="5">F11/(F9+F10+F11)</f>
        <v>0.19050093780470012</v>
      </c>
      <c r="G15" s="266">
        <f t="shared" si="5"/>
        <v>0.12662819742947093</v>
      </c>
      <c r="H15" s="266">
        <f t="shared" si="5"/>
        <v>7.8278388606860691E-2</v>
      </c>
      <c r="I15" s="266">
        <f t="shared" si="5"/>
        <v>4.5874736630680306E-2</v>
      </c>
      <c r="J15" s="266">
        <f t="shared" si="5"/>
        <v>2.5952838137585244E-2</v>
      </c>
      <c r="K15" s="266">
        <f t="shared" si="5"/>
        <v>1.4367329229834965E-2</v>
      </c>
      <c r="O15" s="1" t="s">
        <v>183</v>
      </c>
      <c r="P15" s="1" t="str">
        <f>DemTechs_INDF!P$6</f>
        <v>MANELC</v>
      </c>
      <c r="Q15" t="s">
        <v>188</v>
      </c>
      <c r="R15" s="129">
        <v>1.0416666666666666E-2</v>
      </c>
    </row>
    <row r="16" spans="2:18" x14ac:dyDescent="0.2">
      <c r="E16" s="277">
        <f>SUM(E13:E15)</f>
        <v>1</v>
      </c>
      <c r="F16" s="277">
        <f t="shared" ref="F16:K16" si="6">SUM(F13:F15)</f>
        <v>1</v>
      </c>
      <c r="G16" s="277">
        <f t="shared" si="6"/>
        <v>1.0000000000000002</v>
      </c>
      <c r="H16" s="277">
        <f t="shared" si="6"/>
        <v>0.99999999999999978</v>
      </c>
      <c r="I16" s="277">
        <f t="shared" si="6"/>
        <v>1</v>
      </c>
      <c r="J16" s="277">
        <f t="shared" si="6"/>
        <v>0.99999999999999989</v>
      </c>
      <c r="K16" s="277">
        <f t="shared" si="6"/>
        <v>1</v>
      </c>
      <c r="O16" s="1" t="s">
        <v>183</v>
      </c>
      <c r="P16" s="1" t="str">
        <f>DemTechs_INDF!P$6</f>
        <v>MANELC</v>
      </c>
      <c r="Q16" t="s">
        <v>189</v>
      </c>
      <c r="R16" s="129">
        <v>1.0416666666666666E-2</v>
      </c>
    </row>
    <row r="17" spans="2:18" x14ac:dyDescent="0.2">
      <c r="E17" s="5"/>
      <c r="O17" s="1" t="s">
        <v>183</v>
      </c>
      <c r="P17" s="1" t="str">
        <f>DemTechs_INDF!P$6</f>
        <v>MANELC</v>
      </c>
      <c r="Q17" t="s">
        <v>190</v>
      </c>
      <c r="R17" s="129">
        <v>1.0416666666666666E-2</v>
      </c>
    </row>
    <row r="18" spans="2:18" x14ac:dyDescent="0.2">
      <c r="O18" s="1" t="s">
        <v>183</v>
      </c>
      <c r="P18" s="1" t="str">
        <f>DemTechs_INDF!P$6</f>
        <v>MANELC</v>
      </c>
      <c r="Q18" t="s">
        <v>191</v>
      </c>
      <c r="R18" s="131">
        <v>1.0416666666666666E-2</v>
      </c>
    </row>
    <row r="19" spans="2:18" x14ac:dyDescent="0.2">
      <c r="O19" s="1" t="s">
        <v>183</v>
      </c>
      <c r="P19" s="1" t="str">
        <f>DemTechs_INDF!P$6</f>
        <v>MANELC</v>
      </c>
      <c r="Q19" t="s">
        <v>192</v>
      </c>
      <c r="R19" s="129">
        <v>1.0416666666666666E-2</v>
      </c>
    </row>
    <row r="20" spans="2:18" x14ac:dyDescent="0.2">
      <c r="B20" s="1"/>
      <c r="E20" s="5">
        <f>EBF!J19</f>
        <v>150.60848427090019</v>
      </c>
      <c r="O20" s="1" t="s">
        <v>183</v>
      </c>
      <c r="P20" s="1" t="str">
        <f>DemTechs_INDF!P$6</f>
        <v>MANELC</v>
      </c>
      <c r="Q20" t="s">
        <v>193</v>
      </c>
      <c r="R20" s="129">
        <v>1.0416666666666666E-2</v>
      </c>
    </row>
    <row r="21" spans="2:18" x14ac:dyDescent="0.2">
      <c r="B21" s="1"/>
      <c r="E21" s="5">
        <f>EBF!E19</f>
        <v>8781.4640358504003</v>
      </c>
      <c r="O21" s="1" t="s">
        <v>183</v>
      </c>
      <c r="P21" s="1" t="str">
        <f>DemTechs_INDF!P$6</f>
        <v>MANELC</v>
      </c>
      <c r="Q21" t="s">
        <v>194</v>
      </c>
      <c r="R21" s="129">
        <v>1.0416666666666666E-2</v>
      </c>
    </row>
    <row r="22" spans="2:18" x14ac:dyDescent="0.2">
      <c r="O22" s="1" t="s">
        <v>183</v>
      </c>
      <c r="P22" s="1" t="str">
        <f>DemTechs_INDF!P$6</f>
        <v>MANELC</v>
      </c>
      <c r="Q22" t="s">
        <v>195</v>
      </c>
      <c r="R22" s="131">
        <v>1.0416666666666666E-2</v>
      </c>
    </row>
    <row r="23" spans="2:18" x14ac:dyDescent="0.2">
      <c r="B23" s="123"/>
      <c r="C23" s="1" t="s">
        <v>98</v>
      </c>
      <c r="O23" s="1" t="s">
        <v>183</v>
      </c>
      <c r="P23" s="1" t="str">
        <f>DemTechs_INDF!P$6</f>
        <v>MANELC</v>
      </c>
      <c r="Q23" t="s">
        <v>196</v>
      </c>
      <c r="R23" s="129">
        <v>1.0416666666666666E-2</v>
      </c>
    </row>
    <row r="24" spans="2:18" x14ac:dyDescent="0.2">
      <c r="B24" s="47"/>
      <c r="C24" s="1" t="s">
        <v>99</v>
      </c>
      <c r="O24" s="1" t="s">
        <v>183</v>
      </c>
      <c r="P24" s="1" t="str">
        <f>DemTechs_INDF!P$6</f>
        <v>MANELC</v>
      </c>
      <c r="Q24" t="s">
        <v>197</v>
      </c>
      <c r="R24" s="129">
        <v>1.0416666666666666E-2</v>
      </c>
    </row>
    <row r="25" spans="2:18" x14ac:dyDescent="0.2">
      <c r="O25" s="1" t="s">
        <v>183</v>
      </c>
      <c r="P25" s="1" t="str">
        <f>DemTechs_INDF!P$6</f>
        <v>MANELC</v>
      </c>
      <c r="Q25" t="s">
        <v>198</v>
      </c>
      <c r="R25" s="129">
        <v>1.0416666666666666E-2</v>
      </c>
    </row>
    <row r="26" spans="2:18" x14ac:dyDescent="0.2">
      <c r="O26" s="1" t="s">
        <v>183</v>
      </c>
      <c r="P26" s="1" t="str">
        <f>DemTechs_INDF!P$6</f>
        <v>MANELC</v>
      </c>
      <c r="Q26" t="s">
        <v>199</v>
      </c>
      <c r="R26" s="131">
        <v>1.0416666666666666E-2</v>
      </c>
    </row>
    <row r="27" spans="2:18" x14ac:dyDescent="0.2">
      <c r="O27" s="1" t="s">
        <v>183</v>
      </c>
      <c r="P27" s="1" t="str">
        <f>DemTechs_INDF!P$6</f>
        <v>MANELC</v>
      </c>
      <c r="Q27" t="s">
        <v>200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201</v>
      </c>
      <c r="R28" s="129">
        <v>1.0416666666666666E-2</v>
      </c>
    </row>
    <row r="29" spans="2:18" x14ac:dyDescent="0.2">
      <c r="O29" s="1" t="s">
        <v>183</v>
      </c>
      <c r="P29" s="1" t="str">
        <f>DemTechs_INDF!P$6</f>
        <v>MANELC</v>
      </c>
      <c r="Q29" t="s">
        <v>202</v>
      </c>
      <c r="R29" s="129">
        <v>1.0416666666666666E-2</v>
      </c>
    </row>
    <row r="30" spans="2:18" x14ac:dyDescent="0.2">
      <c r="O30" s="1" t="s">
        <v>183</v>
      </c>
      <c r="P30" s="1" t="str">
        <f>DemTechs_INDF!P$6</f>
        <v>MANELC</v>
      </c>
      <c r="Q30" t="s">
        <v>203</v>
      </c>
      <c r="R30" s="131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204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205</v>
      </c>
      <c r="R32" s="129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206</v>
      </c>
      <c r="R33" s="129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207</v>
      </c>
      <c r="R34" s="131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208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209</v>
      </c>
      <c r="R36" s="129">
        <v>1.0416666666666666E-2</v>
      </c>
    </row>
    <row r="37" spans="15:18" x14ac:dyDescent="0.2">
      <c r="O37" s="1" t="s">
        <v>183</v>
      </c>
      <c r="P37" s="1" t="str">
        <f>DemTechs_INDF!P$6</f>
        <v>MANELC</v>
      </c>
      <c r="Q37" t="s">
        <v>210</v>
      </c>
      <c r="R37" s="129">
        <v>3.125E-2</v>
      </c>
    </row>
    <row r="38" spans="15:18" x14ac:dyDescent="0.2">
      <c r="O38" s="1" t="s">
        <v>183</v>
      </c>
      <c r="P38" s="1" t="str">
        <f>DemTechs_INDF!P$6</f>
        <v>MANELC</v>
      </c>
      <c r="Q38" t="s">
        <v>211</v>
      </c>
      <c r="R38" s="131">
        <v>3.125E-2</v>
      </c>
    </row>
    <row r="39" spans="15:18" x14ac:dyDescent="0.2">
      <c r="O39" s="1" t="s">
        <v>183</v>
      </c>
      <c r="P39" s="1" t="str">
        <f>DemTechs_INDF!P$6</f>
        <v>MANELC</v>
      </c>
      <c r="Q39" t="s">
        <v>212</v>
      </c>
      <c r="R39" s="129">
        <v>3.125E-2</v>
      </c>
    </row>
    <row r="40" spans="15:18" x14ac:dyDescent="0.2">
      <c r="O40" s="1" t="s">
        <v>183</v>
      </c>
      <c r="P40" s="1" t="str">
        <f>DemTechs_INDF!P$6</f>
        <v>MANELC</v>
      </c>
      <c r="Q40" t="s">
        <v>213</v>
      </c>
      <c r="R40" s="129">
        <v>3.125E-2</v>
      </c>
    </row>
    <row r="41" spans="15:18" x14ac:dyDescent="0.2">
      <c r="O41" s="1" t="s">
        <v>183</v>
      </c>
      <c r="P41" s="1" t="str">
        <f>DemTechs_INDF!P$6</f>
        <v>MANELC</v>
      </c>
      <c r="Q41" t="s">
        <v>214</v>
      </c>
      <c r="R41" s="129">
        <v>3.125E-2</v>
      </c>
    </row>
    <row r="42" spans="15:18" x14ac:dyDescent="0.2">
      <c r="O42" s="1" t="s">
        <v>183</v>
      </c>
      <c r="P42" s="1" t="str">
        <f>DemTechs_INDF!P$6</f>
        <v>MANELC</v>
      </c>
      <c r="Q42" t="s">
        <v>215</v>
      </c>
      <c r="R42" s="131">
        <v>3.125E-2</v>
      </c>
    </row>
    <row r="43" spans="15:18" x14ac:dyDescent="0.2">
      <c r="O43" s="1" t="s">
        <v>183</v>
      </c>
      <c r="P43" s="1" t="str">
        <f>DemTechs_INDF!P$6</f>
        <v>MANELC</v>
      </c>
      <c r="Q43" t="s">
        <v>216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217</v>
      </c>
      <c r="R44" s="129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218</v>
      </c>
      <c r="R45" s="129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219</v>
      </c>
      <c r="R46" s="131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220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221</v>
      </c>
      <c r="R48" s="129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222</v>
      </c>
      <c r="R49" s="129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223</v>
      </c>
      <c r="R50" s="131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224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225</v>
      </c>
      <c r="R52" s="129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226</v>
      </c>
      <c r="R53" s="129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227</v>
      </c>
      <c r="R54" s="131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228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229</v>
      </c>
      <c r="R56" s="129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230</v>
      </c>
      <c r="R57" s="129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231</v>
      </c>
      <c r="R58" s="131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232</v>
      </c>
      <c r="R59" s="129">
        <v>3.125E-2</v>
      </c>
    </row>
    <row r="60" spans="15:18" x14ac:dyDescent="0.2">
      <c r="O60" s="1" t="s">
        <v>183</v>
      </c>
      <c r="P60" s="1" t="str">
        <f>DemTechs_INDF!P$6</f>
        <v>MANELC</v>
      </c>
      <c r="Q60" t="s">
        <v>233</v>
      </c>
      <c r="R60" s="129">
        <v>3.125E-2</v>
      </c>
    </row>
    <row r="61" spans="15:18" x14ac:dyDescent="0.2">
      <c r="O61" s="1" t="s">
        <v>183</v>
      </c>
      <c r="P61" s="155" t="s">
        <v>167</v>
      </c>
      <c r="Q61" s="155" t="s">
        <v>446</v>
      </c>
      <c r="R61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M23" sqref="M23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2025-11-08T08:54:00Z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