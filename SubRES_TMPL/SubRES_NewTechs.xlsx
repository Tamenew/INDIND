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0012BAB7-1228-4B52-9310-A0B60ACCD1A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7" l="1"/>
  <c r="B22" i="7"/>
  <c r="B20" i="7"/>
  <c r="D32" i="6"/>
  <c r="D31" i="6"/>
  <c r="B32" i="6"/>
  <c r="B31" i="6"/>
  <c r="C30" i="6"/>
  <c r="C29" i="6"/>
  <c r="C28" i="6"/>
  <c r="H30" i="6"/>
  <c r="H29" i="6"/>
  <c r="H28" i="6"/>
  <c r="H27" i="6"/>
  <c r="H26" i="6"/>
  <c r="B23" i="7"/>
  <c r="B21" i="7"/>
  <c r="B19" i="7"/>
  <c r="C21" i="7"/>
  <c r="C20" i="7"/>
  <c r="C19" i="7"/>
  <c r="B18" i="7"/>
  <c r="D27" i="6"/>
  <c r="D26" i="6"/>
  <c r="B28" i="6"/>
  <c r="B29" i="6"/>
  <c r="P27" i="6"/>
  <c r="O27" i="6"/>
  <c r="B27" i="6"/>
  <c r="G25" i="6"/>
  <c r="F33" i="7"/>
  <c r="D2" i="7"/>
  <c r="P26" i="6"/>
  <c r="O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<sst xmlns="http://schemas.openxmlformats.org/spreadsheetml/2006/main" count="240" uniqueCount="127">
  <si>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</si>
  <si>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</si>
  <si>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</si>
  <si>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</si>
  <si>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</si>
  <si>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</si>
  <si>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</si>
  <si>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</si>
  <si>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</si>
  <si>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</si>
  <si>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</si>
  <si>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</si>
  <si>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</si>
  <si>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</si>
  <si>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</si>
  <si>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</si>
  <si>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</si>
  <si>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</si>
  <si>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</si>
  <si>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</si>
  <si>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</si>
  <si>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</si>
  <si>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</si>
  <si>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</si>
  <si>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</si>
  <si>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</si>
  <si>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</si>
  <si>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</si>
  <si>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</si>
  <si>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</si>
  <si>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</si>
  <si>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</si>
  <si>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</si>
  <si>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</si>
  <si>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</si>
  <si>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</si>
  <si>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</si>
  <si>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</si>
  <si>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</si>
  <si>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</si>
  <si>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</si>
  <si>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</si>
  <si>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</si>
  <si>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</si>
  <si>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</si>
  <si>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</si>
  <si>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</si>
  <si>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</si>
  <si>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</si>
  <si>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</si>
  <si>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</si>
  <si>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</si>
  <si>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</si>
  <si>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</si>
  <si>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</si>
  <si>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</si>
  <si>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</si>
  <si>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</si>
  <si>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</si>
  <si>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</si>
  <si>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</si>
  <si>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</si>
  <si>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</si>
  <si>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</si>
  <si>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DMD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</si>
  <si>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</si>
  <si>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</si>
  <si>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</si>
  <si>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</si>
  <si>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</si>
  <si>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</si>
  <si>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</si>
  <si>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</si>
  <si>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</si>
  <si>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</si>
  <si>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</si>
  <si>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</si>
  <si>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</si>
  <si>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</si>
  <si>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</si>
  <si>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</si>
  <si>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</si>
  <si>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</si>
  <si>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</si>
  <si>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</si>
  <si>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</si>
  <si>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</si>
  <si>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</si>
  <si>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</si>
  <si>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</si>
  <si>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</si>
  <si>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Existing Installed Capacity</t>
  </si>
  <si>
    <t>Input Share</t>
  </si>
  <si>
    <t>Inestment Cost</t>
  </si>
  <si>
    <t>MWa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</si>
  <si>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</si>
  <si>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</si>
  <si>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</si>
  <si>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</si>
  <si>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</si>
  <si>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</si>
  <si>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</si>
  <si>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</si>
  <si>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</si>
  <si>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</si>
  <si>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</si>
  <si>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</si>
  <si>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</si>
  <si>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</si>
  <si>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</si>
  <si>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</si>
  <si>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</si>
  <si>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</si>
  <si>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</si>
  <si>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</si>
  <si>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</si>
  <si>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</si>
  <si>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</si>
  <si>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</si>
  <si>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</si>
  <si>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</si>
  <si>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</si>
  <si>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</si>
  <si>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</si>
  <si>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</si>
  <si>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</si>
  <si>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PHEAT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</si>
</sst>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0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0" fontId="20" fillId="0" borderId="0" xfId="0" applyFont="1"/>
    <xf numFmtId="165" fontId="20" fillId="0" borderId="0" xfId="0" applyNumberFormat="1" applyFont="1"/>
    <xf numFmtId="165" fontId="20" fillId="0" borderId="0" xfId="0" applyNumberFormat="1" applyFont="1" applyAlignment="1">
      <alignment wrapText="1"/>
    </xf>
    <xf numFmtId="2" fontId="20" fillId="8" borderId="0" xfId="0" applyNumberFormat="1" applyFont="1" applyFill="1"/>
    <xf numFmtId="1" fontId="20" fillId="8" borderId="0" xfId="19" applyNumberFormat="1" applyFont="1" applyFill="1"/>
    <xf numFmtId="2" fontId="20" fillId="11" borderId="0" xfId="0" applyNumberFormat="1" applyFont="1" applyFill="1"/>
    <xf numFmtId="166" fontId="4" fillId="7" borderId="0" xfId="0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32</xdr:row>
      <xdr:rowOff>65943</xdr:rowOff>
    </xdr:from>
    <xdr:to>
      <xdr:col>16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zoomScale="96" zoomScaleNormal="96" workbookViewId="0">
      <selection activeCell="P19" sqref="P1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71</v>
      </c>
      <c r="D1" s="7" t="s">
        <v>39</v>
      </c>
      <c r="E1" s="7" t="s">
        <v>72</v>
      </c>
      <c r="F1" s="6"/>
      <c r="G1" s="7" t="s">
        <v>41</v>
      </c>
    </row>
    <row r="2" spans="2:21" ht="15.75" x14ac:dyDescent="0.25">
      <c r="C2" s="21" t="s">
        <v>73</v>
      </c>
      <c r="D2" s="21" t="s">
        <v>74</v>
      </c>
      <c r="E2" s="18" t="s">
        <v>58</v>
      </c>
      <c r="F2" s="21"/>
      <c r="G2" s="4" t="s">
        <v>85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75</v>
      </c>
      <c r="E3" s="18" t="s">
        <v>58</v>
      </c>
      <c r="F3" s="21"/>
      <c r="G3" s="4" t="s">
        <v>85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85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76</v>
      </c>
      <c r="E5" s="18" t="s">
        <v>58</v>
      </c>
      <c r="F5" s="21"/>
      <c r="G5" s="4" t="s">
        <v>85</v>
      </c>
      <c r="M5" s="19" t="s">
        <v>59</v>
      </c>
      <c r="N5" s="19"/>
      <c r="O5" s="19" t="s">
        <v>69</v>
      </c>
      <c r="P5" s="19" t="s">
        <v>62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68</v>
      </c>
      <c r="P6" s="19" t="s">
        <v>100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72" t="s">
        <v>59</v>
      </c>
      <c r="N7" s="72"/>
      <c r="O7" s="72" t="s">
        <v>73</v>
      </c>
      <c r="P7" s="72" t="s">
        <v>110</v>
      </c>
      <c r="Q7" s="72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72" t="s">
        <v>59</v>
      </c>
      <c r="N8" s="72"/>
      <c r="O8" s="72" t="s">
        <v>116</v>
      </c>
      <c r="P8" s="72" t="s">
        <v>111</v>
      </c>
      <c r="Q8" s="72" t="s">
        <v>58</v>
      </c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72"/>
      <c r="N9" s="72"/>
      <c r="O9" s="72"/>
      <c r="P9" s="72"/>
      <c r="Q9" s="72"/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78</v>
      </c>
      <c r="H23" s="24" t="s">
        <v>79</v>
      </c>
      <c r="I23" s="24" t="s">
        <v>80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/>
      <c r="G24" s="25" t="s">
        <v>81</v>
      </c>
      <c r="H24" s="25" t="s">
        <v>82</v>
      </c>
      <c r="I24" s="25" t="s">
        <v>83</v>
      </c>
      <c r="J24" s="26" t="s">
        <v>84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85</v>
      </c>
      <c r="I25" s="27" t="s">
        <v>58</v>
      </c>
      <c r="J25" s="28"/>
      <c r="K25" s="28"/>
      <c r="M25" s="20" t="s">
        <v>86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O5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65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O6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65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tr">
        <f>O7</f>
        <v>WIND</v>
      </c>
      <c r="D28" s="12" t="s">
        <v>70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70</v>
      </c>
      <c r="O28" s="15" t="s">
        <v>101</v>
      </c>
      <c r="P28" s="34" t="s">
        <v>104</v>
      </c>
      <c r="Q28" t="s">
        <v>58</v>
      </c>
      <c r="S28" t="s">
        <v>96</v>
      </c>
    </row>
    <row r="29" spans="2:21" x14ac:dyDescent="0.2">
      <c r="B29" s="12" t="str">
        <f t="shared" si="0"/>
        <v>SOLPV</v>
      </c>
      <c r="C29" s="15" t="str">
        <f>O8</f>
        <v>SOLAR</v>
      </c>
      <c r="D29" s="12" t="s">
        <v>70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70</v>
      </c>
      <c r="O29" s="15" t="s">
        <v>102</v>
      </c>
      <c r="P29" s="34" t="s">
        <v>103</v>
      </c>
      <c r="Q29" t="s">
        <v>58</v>
      </c>
      <c r="S29" t="s">
        <v>96</v>
      </c>
    </row>
    <row r="30" spans="2:21" x14ac:dyDescent="0.2">
      <c r="B30" s="19" t="s">
        <v>66</v>
      </c>
      <c r="C30" s="19" t="str">
        <f>O8</f>
        <v>SOLAR</v>
      </c>
      <c r="D30" s="19" t="s">
        <v>126</v>
      </c>
      <c r="E30" s="21">
        <v>2030</v>
      </c>
      <c r="F30" s="1"/>
      <c r="H30" s="77">
        <f>[1]TechnologydataTech!$D$12*365*24/1000000000</f>
        <v>3.2210519999999999E-2</v>
      </c>
      <c r="I30" s="36"/>
      <c r="J30" s="33">
        <v>8.76</v>
      </c>
      <c r="K30" s="33"/>
      <c r="M30" s="71" t="s">
        <v>65</v>
      </c>
      <c r="N30" s="71"/>
      <c r="O30" s="72" t="s">
        <v>112</v>
      </c>
      <c r="P30" s="73" t="s">
        <v>115</v>
      </c>
      <c r="Q30" s="71" t="s">
        <v>58</v>
      </c>
    </row>
    <row r="31" spans="2:21" x14ac:dyDescent="0.2">
      <c r="B31" s="72" t="str">
        <f>O30</f>
        <v>MINWIND</v>
      </c>
      <c r="C31" s="72"/>
      <c r="D31" s="72" t="str">
        <f>O7</f>
        <v>WIND</v>
      </c>
      <c r="E31" s="71">
        <v>2030</v>
      </c>
      <c r="F31" s="71"/>
      <c r="G31" s="71"/>
      <c r="H31" s="74">
        <v>0</v>
      </c>
      <c r="I31" s="75"/>
      <c r="J31" s="76">
        <v>8.76</v>
      </c>
      <c r="K31" s="68"/>
      <c r="M31" s="71" t="s">
        <v>65</v>
      </c>
      <c r="N31" s="71"/>
      <c r="O31" s="72" t="s">
        <v>113</v>
      </c>
      <c r="P31" s="73" t="s">
        <v>114</v>
      </c>
      <c r="Q31" s="71" t="s">
        <v>58</v>
      </c>
    </row>
    <row r="32" spans="2:21" x14ac:dyDescent="0.2">
      <c r="B32" s="72" t="str">
        <f>O31</f>
        <v>MINSOL</v>
      </c>
      <c r="C32" s="72"/>
      <c r="D32" s="72" t="str">
        <f>O8</f>
        <v>SOLAR</v>
      </c>
      <c r="E32" s="71">
        <v>2030</v>
      </c>
      <c r="F32" s="71"/>
      <c r="G32" s="71"/>
      <c r="H32" s="74">
        <v>0</v>
      </c>
      <c r="I32" s="75"/>
      <c r="J32" s="76">
        <v>8.76</v>
      </c>
      <c r="K32" s="68"/>
      <c r="O32" s="15"/>
      <c r="P32" s="34"/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87</v>
      </c>
      <c r="H41" s="68"/>
      <c r="I41" s="69"/>
      <c r="J41" s="68"/>
      <c r="K41" s="68"/>
    </row>
    <row r="42" spans="2:16" x14ac:dyDescent="0.2">
      <c r="B42" s="38"/>
      <c r="C42" s="1" t="s">
        <v>88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4"/>
  <sheetViews>
    <sheetView tabSelected="1" zoomScale="118" zoomScaleNormal="118" workbookViewId="0">
      <selection activeCell="E24" sqref="E24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2851562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72</v>
      </c>
      <c r="F1" s="3" t="s">
        <v>41</v>
      </c>
      <c r="G1" s="3"/>
      <c r="H1" s="3" t="s">
        <v>89</v>
      </c>
    </row>
    <row r="2" spans="2:22" ht="31.5" x14ac:dyDescent="0.25">
      <c r="B2" s="4" t="s">
        <v>106</v>
      </c>
      <c r="C2" s="4" t="s">
        <v>107</v>
      </c>
      <c r="D2" s="39" t="str">
        <f>"Demand Technologies"</f>
        <v>Demand Technologies</v>
      </c>
      <c r="E2" s="4" t="s">
        <v>58</v>
      </c>
      <c r="F2" s="4" t="s">
        <v>108</v>
      </c>
      <c r="G2" s="4"/>
      <c r="H2" s="4" t="s">
        <v>105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66"/>
      <c r="O5" s="66"/>
      <c r="P5" s="66"/>
      <c r="Q5" s="66"/>
      <c r="R5" s="66"/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/>
      <c r="O6" s="16"/>
      <c r="P6" s="16"/>
      <c r="Q6" s="16"/>
      <c r="R6" s="16"/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/>
      <c r="O7" s="16"/>
      <c r="P7" s="16"/>
      <c r="Q7" s="16"/>
      <c r="R7" s="16"/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/>
      <c r="O8" s="16"/>
      <c r="P8" s="16"/>
      <c r="Q8" s="16"/>
      <c r="R8" s="16"/>
      <c r="S8" s="16"/>
      <c r="T8" s="16"/>
      <c r="U8" s="16"/>
      <c r="V8" s="16"/>
    </row>
    <row r="9" spans="2:22" x14ac:dyDescent="0.2">
      <c r="N9" s="16"/>
      <c r="O9" s="16"/>
      <c r="P9" s="16"/>
      <c r="Q9" s="16"/>
      <c r="R9" s="16"/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90</v>
      </c>
      <c r="F15" s="46" t="s">
        <v>117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91</v>
      </c>
      <c r="F16" s="48" t="s">
        <v>92</v>
      </c>
      <c r="G16" s="48" t="s">
        <v>35</v>
      </c>
      <c r="H16" s="49" t="s">
        <v>49</v>
      </c>
      <c r="I16" s="48" t="s">
        <v>57</v>
      </c>
      <c r="J16" s="48" t="s">
        <v>93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94</v>
      </c>
      <c r="F17" s="52"/>
      <c r="G17" s="52"/>
      <c r="H17" s="53"/>
      <c r="I17" s="52" t="s">
        <v>54</v>
      </c>
      <c r="J17" s="52" t="s">
        <v>85</v>
      </c>
      <c r="K17" s="53"/>
      <c r="L17" s="54"/>
      <c r="M17" s="54"/>
      <c r="N17" s="44" t="s">
        <v>86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70</v>
      </c>
      <c r="D18" s="56" t="s">
        <v>126</v>
      </c>
      <c r="E18" s="17">
        <v>0</v>
      </c>
      <c r="F18" s="57"/>
      <c r="G18" s="58">
        <v>1</v>
      </c>
      <c r="H18" s="58">
        <v>1</v>
      </c>
      <c r="I18" s="58">
        <v>30</v>
      </c>
      <c r="J18" s="58">
        <v>333</v>
      </c>
      <c r="K18" s="58"/>
      <c r="L18" s="55"/>
      <c r="M18" s="55"/>
      <c r="N18" s="58" t="s">
        <v>64</v>
      </c>
      <c r="O18" s="58"/>
      <c r="P18" s="58" t="s">
        <v>67</v>
      </c>
      <c r="Q18" s="58" t="s">
        <v>125</v>
      </c>
      <c r="R18" s="9" t="s">
        <v>58</v>
      </c>
      <c r="S18" s="9" t="s">
        <v>95</v>
      </c>
      <c r="T18" s="59" t="s">
        <v>96</v>
      </c>
      <c r="U18" s="58"/>
      <c r="V18" s="58"/>
    </row>
    <row r="19" spans="2:22" x14ac:dyDescent="0.2">
      <c r="B19" s="9" t="str">
        <f>P$19</f>
        <v>BIOBoiler</v>
      </c>
      <c r="C19" s="9" t="str">
        <f>PRI_Sector_Fuels!O5</f>
        <v>MANBIOMIN</v>
      </c>
      <c r="D19" s="56" t="s">
        <v>126</v>
      </c>
      <c r="E19" s="17">
        <v>0</v>
      </c>
      <c r="F19" s="57"/>
      <c r="G19" s="58">
        <v>0.8</v>
      </c>
      <c r="H19" s="58">
        <v>1</v>
      </c>
      <c r="I19" s="58">
        <v>20</v>
      </c>
      <c r="J19" s="58">
        <v>222</v>
      </c>
      <c r="K19" s="58"/>
      <c r="L19" s="55"/>
      <c r="M19" s="55"/>
      <c r="N19" s="58" t="s">
        <v>64</v>
      </c>
      <c r="O19" s="58"/>
      <c r="P19" s="58" t="s">
        <v>118</v>
      </c>
      <c r="Q19" s="58" t="s">
        <v>109</v>
      </c>
      <c r="R19" s="9" t="s">
        <v>58</v>
      </c>
      <c r="S19" s="9" t="s">
        <v>95</v>
      </c>
      <c r="T19" s="58"/>
      <c r="U19" s="58"/>
      <c r="V19" s="58"/>
    </row>
    <row r="20" spans="2:22" x14ac:dyDescent="0.2">
      <c r="B20" s="9" t="str">
        <f>P22</f>
        <v>GASBoiler</v>
      </c>
      <c r="C20" s="9" t="str">
        <f>PRI_Sector_Fuels!O6</f>
        <v>MANGASMIN</v>
      </c>
      <c r="D20" s="56" t="s">
        <v>126</v>
      </c>
      <c r="E20" s="17">
        <v>0</v>
      </c>
      <c r="F20" s="57"/>
      <c r="G20" s="58">
        <v>0.8</v>
      </c>
      <c r="H20" s="58">
        <v>1</v>
      </c>
      <c r="I20" s="58">
        <v>20</v>
      </c>
      <c r="J20" s="58">
        <v>2121</v>
      </c>
      <c r="K20" s="58"/>
      <c r="L20" s="55"/>
      <c r="N20" s="58" t="s">
        <v>64</v>
      </c>
      <c r="O20" s="58"/>
      <c r="P20" s="58" t="s">
        <v>119</v>
      </c>
      <c r="Q20" s="58" t="s">
        <v>124</v>
      </c>
      <c r="R20" s="9" t="s">
        <v>58</v>
      </c>
      <c r="S20" s="9" t="s">
        <v>95</v>
      </c>
      <c r="T20" s="58"/>
      <c r="U20" s="58"/>
      <c r="V20" s="58"/>
    </row>
    <row r="21" spans="2:22" s="58" customFormat="1" x14ac:dyDescent="0.2">
      <c r="B21" s="9" t="str">
        <f>P20</f>
        <v>BIOKiln</v>
      </c>
      <c r="C21" s="9" t="str">
        <f>PRI_Sector_Fuels!O5</f>
        <v>MANBIOMIN</v>
      </c>
      <c r="D21" s="56" t="s">
        <v>126</v>
      </c>
      <c r="E21" s="17">
        <v>0</v>
      </c>
      <c r="F21" s="57"/>
      <c r="G21" s="58">
        <v>0.55000000000000004</v>
      </c>
      <c r="H21" s="58">
        <v>1</v>
      </c>
      <c r="I21" s="58">
        <v>20</v>
      </c>
      <c r="J21" s="58">
        <v>444</v>
      </c>
      <c r="N21" s="58" t="s">
        <v>64</v>
      </c>
      <c r="P21" s="58" t="s">
        <v>66</v>
      </c>
      <c r="Q21" s="58" t="s">
        <v>77</v>
      </c>
      <c r="R21" s="9" t="s">
        <v>58</v>
      </c>
      <c r="S21" s="9" t="s">
        <v>95</v>
      </c>
    </row>
    <row r="22" spans="2:22" s="58" customFormat="1" x14ac:dyDescent="0.2">
      <c r="B22" s="9" t="str">
        <f>P23</f>
        <v>ELCBoiler</v>
      </c>
      <c r="C22" s="9" t="s">
        <v>70</v>
      </c>
      <c r="D22" s="56" t="s">
        <v>126</v>
      </c>
      <c r="E22" s="17">
        <v>0</v>
      </c>
      <c r="F22" s="57"/>
      <c r="G22" s="58">
        <v>1</v>
      </c>
      <c r="H22" s="58">
        <v>1</v>
      </c>
      <c r="I22" s="58">
        <v>25</v>
      </c>
      <c r="J22" s="58">
        <v>2145</v>
      </c>
      <c r="N22" s="58" t="s">
        <v>64</v>
      </c>
      <c r="P22" s="58" t="s">
        <v>120</v>
      </c>
      <c r="Q22" s="58" t="s">
        <v>121</v>
      </c>
      <c r="R22" s="9"/>
      <c r="S22" s="9"/>
    </row>
    <row r="23" spans="2:22" s="58" customFormat="1" x14ac:dyDescent="0.2">
      <c r="B23" s="9" t="str">
        <f>P21</f>
        <v>CSP</v>
      </c>
      <c r="C23" s="9" t="str">
        <f>PRI_Sector_Fuels!O8</f>
        <v>SOLAR</v>
      </c>
      <c r="D23" s="56" t="s">
        <v>126</v>
      </c>
      <c r="E23" s="17">
        <v>0</v>
      </c>
      <c r="F23" s="57"/>
      <c r="G23" s="58">
        <v>1</v>
      </c>
      <c r="H23" s="58">
        <v>1</v>
      </c>
      <c r="I23" s="58">
        <v>25</v>
      </c>
      <c r="J23" s="58">
        <v>0</v>
      </c>
      <c r="N23" s="58" t="s">
        <v>64</v>
      </c>
      <c r="P23" s="58" t="s">
        <v>122</v>
      </c>
      <c r="Q23" s="58" t="s">
        <v>123</v>
      </c>
      <c r="R23" s="9"/>
      <c r="S23" s="9"/>
    </row>
    <row r="24" spans="2:22" s="58" customFormat="1" x14ac:dyDescent="0.2">
      <c r="B24" s="8"/>
      <c r="C24" s="16"/>
      <c r="D24" s="56"/>
      <c r="E24" s="17"/>
      <c r="F24" s="57"/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/>
      <c r="C25" s="8"/>
      <c r="D25" s="8"/>
      <c r="E25" s="8"/>
      <c r="F25" s="61"/>
      <c r="G25" s="8"/>
      <c r="H25" s="8"/>
      <c r="I25" s="8"/>
      <c r="J25" s="8"/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60" customFormat="1" x14ac:dyDescent="0.2">
      <c r="B26" s="8"/>
      <c r="C26" s="8"/>
      <c r="D26" s="8"/>
      <c r="E26" s="8"/>
      <c r="F26" s="61"/>
      <c r="G26" s="8"/>
      <c r="H26" s="8"/>
      <c r="I26" s="8"/>
      <c r="J26" s="8"/>
      <c r="K26" s="8"/>
      <c r="N26" s="8"/>
      <c r="O26" s="8"/>
      <c r="P26" s="8"/>
      <c r="Q26" s="8"/>
      <c r="R26" s="16"/>
      <c r="S26" s="16"/>
      <c r="T26" s="67"/>
      <c r="U26" s="8"/>
      <c r="V26" s="8"/>
    </row>
    <row r="27" spans="2:22" x14ac:dyDescent="0.2">
      <c r="F27" s="61"/>
      <c r="G27" s="10"/>
      <c r="H27" s="63"/>
      <c r="O27" s="60"/>
      <c r="Q27" s="60"/>
      <c r="R27" s="62"/>
      <c r="S27" s="62"/>
    </row>
    <row r="28" spans="2:22" x14ac:dyDescent="0.2">
      <c r="H28" s="63"/>
    </row>
    <row r="29" spans="2:22" x14ac:dyDescent="0.2">
      <c r="B29" s="55"/>
      <c r="C29" s="8" t="s">
        <v>87</v>
      </c>
      <c r="H29" s="63"/>
    </row>
    <row r="30" spans="2:22" x14ac:dyDescent="0.2">
      <c r="B30" s="64"/>
      <c r="C30" s="8" t="s">
        <v>88</v>
      </c>
      <c r="H30" s="63"/>
    </row>
    <row r="31" spans="2:22" x14ac:dyDescent="0.2">
      <c r="E31" s="8" t="s">
        <v>97</v>
      </c>
      <c r="F31" s="8" t="s">
        <v>98</v>
      </c>
      <c r="H31" s="63"/>
    </row>
    <row r="33" spans="5:6" x14ac:dyDescent="0.2">
      <c r="E33" s="8" t="s">
        <v>99</v>
      </c>
      <c r="F33" s="8">
        <f>24*365</f>
        <v>8760</v>
      </c>
    </row>
    <row r="34" spans="5:6" x14ac:dyDescent="0.2">
      <c r="E34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2025-11-08T16:22:43Z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