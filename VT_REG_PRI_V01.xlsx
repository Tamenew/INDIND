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60F019DE-9670-4598-AAE9-0C49903C8282}" xr6:coauthVersionLast="47" xr6:coauthVersionMax="47" xr10:uidLastSave="{00000000-0000-0000-0000-000000000000}"/>
  <bookViews>
    <workbookView xWindow="-120" yWindow="-120" windowWidth="29040" windowHeight="15720" tabRatio="890" activeTab="9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N10" i="145"/>
  <c r="N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J10" i="145" l="1"/>
  <c r="K10" i="145"/>
  <c r="L10" i="145"/>
  <c r="I10" i="145"/>
  <c r="G10" i="145"/>
  <c r="H10" i="145"/>
  <c r="H9" i="145"/>
  <c r="L9" i="145"/>
  <c r="I9" i="145"/>
  <c r="I13" i="145" s="1"/>
  <c r="K9" i="145"/>
  <c r="G9" i="145"/>
  <c r="G13" i="145" s="1"/>
  <c r="J9" i="145"/>
  <c r="J13" i="145" s="1"/>
  <c r="C9" i="145"/>
  <c r="K13" i="145" l="1"/>
  <c r="L13" i="145"/>
  <c r="H13" i="145"/>
  <c r="H12" i="145"/>
  <c r="G12" i="145"/>
  <c r="L12" i="145"/>
  <c r="K12" i="145"/>
  <c r="I12" i="145"/>
  <c r="J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G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Q28" i="145" l="1"/>
  <c r="Q44" i="145"/>
  <c r="Q11" i="145"/>
  <c r="Q14" i="145"/>
  <c r="Q30" i="145"/>
  <c r="Q13" i="145"/>
  <c r="Q31" i="145"/>
  <c r="Q47" i="145"/>
  <c r="Q16" i="145"/>
  <c r="Q48" i="145"/>
  <c r="Q37" i="145"/>
  <c r="Q22" i="145"/>
  <c r="Q39" i="145"/>
  <c r="Q24" i="145"/>
  <c r="Q41" i="145"/>
  <c r="Q26" i="145"/>
  <c r="Q27" i="145"/>
  <c r="Q29" i="145"/>
  <c r="Q45" i="145"/>
  <c r="Q12" i="145"/>
  <c r="Q46" i="145"/>
  <c r="Q15" i="145"/>
  <c r="Q10" i="145"/>
  <c r="Q32" i="145"/>
  <c r="Q53" i="145"/>
  <c r="Q54" i="145"/>
  <c r="Q55" i="145"/>
  <c r="Q40" i="145"/>
  <c r="Q57" i="145"/>
  <c r="Q58" i="145"/>
  <c r="Q59" i="145"/>
  <c r="Q17" i="145"/>
  <c r="Q33" i="145"/>
  <c r="Q49" i="145"/>
  <c r="Q18" i="145"/>
  <c r="Q34" i="145"/>
  <c r="Q50" i="145"/>
  <c r="Q19" i="145"/>
  <c r="Q35" i="145"/>
  <c r="Q51" i="145"/>
  <c r="Q20" i="145"/>
  <c r="Q36" i="145"/>
  <c r="Q52" i="145"/>
  <c r="Q21" i="145"/>
  <c r="Q38" i="145"/>
  <c r="Q23" i="145"/>
  <c r="Q56" i="145"/>
  <c r="Q25" i="145"/>
  <c r="Q42" i="145"/>
  <c r="Q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<sst xmlns="http://schemas.openxmlformats.org/spreadsheetml/2006/main" count="848" uniqueCount="451">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</sst>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11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17" zoomScale="96" zoomScaleNormal="96" workbookViewId="0">
      <selection activeCell="H26" sqref="H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5"/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5"/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5"/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/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T18" sqref="T18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S59"/>
  <sheetViews>
    <sheetView topLeftCell="B12" zoomScale="226" zoomScaleNormal="226" workbookViewId="0">
      <selection activeCell="H15" sqref="H15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4" max="14" width="10.5703125" bestFit="1" customWidth="1"/>
    <col min="17" max="17" width="12.42578125" bestFit="1" customWidth="1"/>
    <col min="18" max="18" width="10.28515625" bestFit="1" customWidth="1"/>
  </cols>
  <sheetData>
    <row r="1" spans="2:19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/>
      <c r="G1" s="6" t="s">
        <v>79</v>
      </c>
    </row>
    <row r="2" spans="2:19" ht="15.75" x14ac:dyDescent="0.25">
      <c r="B2" s="7" t="s">
        <v>82</v>
      </c>
      <c r="C2" s="7"/>
      <c r="D2" s="7"/>
      <c r="E2" s="7" t="str">
        <f>EBF!Q2</f>
        <v>GWh</v>
      </c>
      <c r="F2" s="7"/>
      <c r="G2" s="7" t="str">
        <f>EBF!P2</f>
        <v>TH$2022</v>
      </c>
    </row>
    <row r="3" spans="2:19" x14ac:dyDescent="0.2">
      <c r="L3" s="149"/>
    </row>
    <row r="5" spans="2:19" x14ac:dyDescent="0.2">
      <c r="C5" s="119" t="s">
        <v>13</v>
      </c>
      <c r="D5" s="119"/>
      <c r="E5" s="1"/>
      <c r="F5" s="1"/>
    </row>
    <row r="6" spans="2:19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/>
      <c r="G6" s="118">
        <v>2025</v>
      </c>
      <c r="H6" s="118">
        <v>2030</v>
      </c>
      <c r="I6" s="118">
        <v>2035</v>
      </c>
      <c r="J6" s="118">
        <v>2040</v>
      </c>
      <c r="K6" s="118">
        <v>2045</v>
      </c>
      <c r="L6" s="118">
        <v>2050</v>
      </c>
      <c r="M6" s="147"/>
      <c r="N6" s="150"/>
      <c r="O6" s="125"/>
      <c r="R6" s="119" t="s">
        <v>13</v>
      </c>
      <c r="S6" s="1"/>
    </row>
    <row r="7" spans="2:19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/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21" t="s">
        <v>182</v>
      </c>
      <c r="M7" s="148"/>
      <c r="N7" s="150" t="s">
        <v>252</v>
      </c>
      <c r="O7" s="126"/>
      <c r="P7" s="118" t="s">
        <v>178</v>
      </c>
      <c r="Q7" s="118" t="s">
        <v>0</v>
      </c>
      <c r="R7" s="118" t="s">
        <v>184</v>
      </c>
      <c r="S7" s="118">
        <v>2022</v>
      </c>
    </row>
    <row r="8" spans="2:19" ht="34.5" thickBot="1" x14ac:dyDescent="0.25">
      <c r="B8" s="120" t="s">
        <v>87</v>
      </c>
      <c r="C8" s="120"/>
      <c r="D8" s="120"/>
      <c r="E8" s="120" t="s">
        <v>162</v>
      </c>
      <c r="F8" s="120"/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20" t="s">
        <v>162</v>
      </c>
      <c r="M8" s="148"/>
      <c r="N8" s="150"/>
      <c r="O8" s="126"/>
      <c r="P8" s="128" t="s">
        <v>81</v>
      </c>
      <c r="Q8" s="128" t="s">
        <v>180</v>
      </c>
      <c r="R8" s="128"/>
      <c r="S8" s="128"/>
    </row>
    <row r="9" spans="2:19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/>
      <c r="G9" s="124">
        <f t="shared" ref="G9:L9" si="0">$E$9*(1+$N$9)^(G6-$E$6)</f>
        <v>20811.797787542779</v>
      </c>
      <c r="H9" s="124">
        <f t="shared" si="0"/>
        <v>67412.770774944656</v>
      </c>
      <c r="I9" s="124">
        <f t="shared" si="0"/>
        <v>218360.84080518034</v>
      </c>
      <c r="J9" s="124">
        <f t="shared" si="0"/>
        <v>707305.9933455087</v>
      </c>
      <c r="K9" s="124">
        <f t="shared" si="0"/>
        <v>2291078.2280272678</v>
      </c>
      <c r="L9" s="124">
        <f t="shared" si="0"/>
        <v>7421172.019358933</v>
      </c>
      <c r="N9" s="152">
        <f>EBF!K62</f>
        <v>0.26498832137448636</v>
      </c>
      <c r="P9" s="9" t="s">
        <v>87</v>
      </c>
      <c r="Q9" s="9"/>
      <c r="R9" s="9"/>
      <c r="S9" s="9"/>
    </row>
    <row r="10" spans="2:19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/>
      <c r="G10" s="124">
        <f t="shared" ref="G10:L10" si="1">$E$10*(1+$N$10)^(G6-$E$6)</f>
        <v>3692.8738709213426</v>
      </c>
      <c r="H10" s="124">
        <f t="shared" si="1"/>
        <v>5648.9387778083592</v>
      </c>
      <c r="I10" s="124">
        <f t="shared" si="1"/>
        <v>8641.1045789293585</v>
      </c>
      <c r="J10" s="124">
        <f t="shared" si="1"/>
        <v>13218.179782249905</v>
      </c>
      <c r="K10" s="124">
        <f t="shared" si="1"/>
        <v>20219.669274912092</v>
      </c>
      <c r="L10" s="124">
        <f t="shared" si="1"/>
        <v>30929.752229261561</v>
      </c>
      <c r="N10" s="153">
        <f>EBF!L63</f>
        <v>8.8730723400078371E-2</v>
      </c>
      <c r="P10" s="1" t="s">
        <v>185</v>
      </c>
      <c r="Q10" s="1" t="str">
        <f>DemTechs_INDF!P$6</f>
        <v>MANELC</v>
      </c>
      <c r="R10" s="91" t="s">
        <v>186</v>
      </c>
      <c r="S10" s="129">
        <v>0.75</v>
      </c>
    </row>
    <row r="11" spans="2:19" ht="13.5" thickBot="1" x14ac:dyDescent="0.25">
      <c r="B11" s="122"/>
      <c r="C11" s="122"/>
      <c r="D11" s="122"/>
      <c r="E11" s="124"/>
      <c r="F11" s="124"/>
      <c r="G11" s="124"/>
      <c r="L11" s="5"/>
      <c r="N11" s="151"/>
      <c r="P11" s="1" t="s">
        <v>185</v>
      </c>
      <c r="Q11" s="1" t="str">
        <f>DemTechs_INDF!P$6</f>
        <v>MANELC</v>
      </c>
      <c r="R11" s="91" t="s">
        <v>187</v>
      </c>
      <c r="S11" s="129">
        <v>0.25</v>
      </c>
    </row>
    <row r="12" spans="2:19" x14ac:dyDescent="0.2">
      <c r="B12" s="122"/>
      <c r="C12" s="122"/>
      <c r="D12" s="141" t="s">
        <v>250</v>
      </c>
      <c r="E12" s="266">
        <f>E10/(E$9+E$10)</f>
        <v>0.21772662415091906</v>
      </c>
      <c r="F12" s="266"/>
      <c r="G12" s="266">
        <f>G10/(G$9+G$10)</f>
        <v>0.15070081013086306</v>
      </c>
      <c r="H12" s="266">
        <f t="shared" ref="H12:L12" si="2">H10/(H$9+H$10)</f>
        <v>7.7317363806408537E-2</v>
      </c>
      <c r="I12" s="266">
        <f t="shared" si="2"/>
        <v>3.8066213768819274E-2</v>
      </c>
      <c r="J12" s="266">
        <f t="shared" si="2"/>
        <v>1.8345227370888145E-2</v>
      </c>
      <c r="K12" s="266">
        <f t="shared" si="2"/>
        <v>8.7481883224629457E-3</v>
      </c>
      <c r="L12" s="266">
        <f t="shared" si="2"/>
        <v>4.1504736753843075E-3</v>
      </c>
      <c r="N12" s="151"/>
      <c r="O12" s="5"/>
      <c r="P12" s="1" t="s">
        <v>185</v>
      </c>
      <c r="Q12" s="1" t="str">
        <f>DemTechs_INDF!P$6</f>
        <v>MANELC</v>
      </c>
      <c r="R12" s="91" t="s">
        <v>188</v>
      </c>
      <c r="S12" s="129">
        <v>1.0416666666666666E-2</v>
      </c>
    </row>
    <row r="13" spans="2:19" x14ac:dyDescent="0.2">
      <c r="B13" s="1"/>
      <c r="D13" t="s">
        <v>251</v>
      </c>
      <c r="E13" s="266">
        <f>E9/(E$9+E$10)</f>
        <v>0.78227337584908085</v>
      </c>
      <c r="F13" s="266"/>
      <c r="G13" s="266">
        <f>G9/(G$9+G$10)</f>
        <v>0.84929918986913688</v>
      </c>
      <c r="H13" s="266">
        <f t="shared" ref="H13:L13" si="3">H9/(H$9+H$10)</f>
        <v>0.92268263619359148</v>
      </c>
      <c r="I13" s="266">
        <f t="shared" si="3"/>
        <v>0.96193378623118064</v>
      </c>
      <c r="J13" s="266">
        <f t="shared" si="3"/>
        <v>0.98165477262911194</v>
      </c>
      <c r="K13" s="266">
        <f t="shared" si="3"/>
        <v>0.99125181167753695</v>
      </c>
      <c r="L13" s="266">
        <f t="shared" si="3"/>
        <v>0.99584952632461576</v>
      </c>
      <c r="N13" s="151"/>
      <c r="P13" s="1" t="s">
        <v>185</v>
      </c>
      <c r="Q13" s="1" t="str">
        <f>DemTechs_INDF!P$6</f>
        <v>MANELC</v>
      </c>
      <c r="R13" s="130" t="s">
        <v>189</v>
      </c>
      <c r="S13" s="131">
        <v>1.0416666666666666E-2</v>
      </c>
    </row>
    <row r="14" spans="2:19" x14ac:dyDescent="0.2">
      <c r="P14" s="1" t="s">
        <v>185</v>
      </c>
      <c r="Q14" s="1" t="str">
        <f>DemTechs_INDF!P$6</f>
        <v>MANELC</v>
      </c>
      <c r="R14" t="s">
        <v>190</v>
      </c>
      <c r="S14" s="129">
        <v>1.0416666666666666E-2</v>
      </c>
    </row>
    <row r="15" spans="2:19" x14ac:dyDescent="0.2">
      <c r="P15" s="1" t="s">
        <v>185</v>
      </c>
      <c r="Q15" s="1" t="str">
        <f>DemTechs_INDF!P$6</f>
        <v>MANELC</v>
      </c>
      <c r="R15" t="s">
        <v>191</v>
      </c>
      <c r="S15" s="129">
        <v>1.0416666666666666E-2</v>
      </c>
    </row>
    <row r="16" spans="2:19" x14ac:dyDescent="0.2">
      <c r="E16" s="5"/>
      <c r="F16" s="5"/>
      <c r="P16" s="1" t="s">
        <v>185</v>
      </c>
      <c r="Q16" s="1" t="str">
        <f>DemTechs_INDF!P$6</f>
        <v>MANELC</v>
      </c>
      <c r="R16" t="s">
        <v>192</v>
      </c>
      <c r="S16" s="129">
        <v>1.0416666666666666E-2</v>
      </c>
    </row>
    <row r="17" spans="2:19" x14ac:dyDescent="0.2">
      <c r="P17" s="1" t="s">
        <v>185</v>
      </c>
      <c r="Q17" s="1" t="str">
        <f>DemTechs_INDF!P$6</f>
        <v>MANELC</v>
      </c>
      <c r="R17" t="s">
        <v>193</v>
      </c>
      <c r="S17" s="131">
        <v>1.0416666666666666E-2</v>
      </c>
    </row>
    <row r="18" spans="2:19" x14ac:dyDescent="0.2">
      <c r="P18" s="1" t="s">
        <v>185</v>
      </c>
      <c r="Q18" s="1" t="str">
        <f>DemTechs_INDF!P$6</f>
        <v>MANELC</v>
      </c>
      <c r="R18" t="s">
        <v>194</v>
      </c>
      <c r="S18" s="129">
        <v>1.0416666666666666E-2</v>
      </c>
    </row>
    <row r="19" spans="2:19" x14ac:dyDescent="0.2">
      <c r="B19" s="1"/>
      <c r="E19" s="5">
        <f>EBF!J19</f>
        <v>150.60848427090019</v>
      </c>
      <c r="F19" s="5"/>
      <c r="P19" s="1" t="s">
        <v>185</v>
      </c>
      <c r="Q19" s="1" t="str">
        <f>DemTechs_INDF!P$6</f>
        <v>MANELC</v>
      </c>
      <c r="R19" t="s">
        <v>195</v>
      </c>
      <c r="S19" s="129">
        <v>1.0416666666666666E-2</v>
      </c>
    </row>
    <row r="20" spans="2:19" x14ac:dyDescent="0.2">
      <c r="B20" s="1"/>
      <c r="E20" s="5">
        <f>EBF!E19</f>
        <v>8781.4640358504003</v>
      </c>
      <c r="F20" s="5"/>
      <c r="P20" s="1" t="s">
        <v>185</v>
      </c>
      <c r="Q20" s="1" t="str">
        <f>DemTechs_INDF!P$6</f>
        <v>MANELC</v>
      </c>
      <c r="R20" t="s">
        <v>196</v>
      </c>
      <c r="S20" s="129">
        <v>1.0416666666666666E-2</v>
      </c>
    </row>
    <row r="21" spans="2:19" x14ac:dyDescent="0.2">
      <c r="P21" s="1" t="s">
        <v>185</v>
      </c>
      <c r="Q21" s="1" t="str">
        <f>DemTechs_INDF!P$6</f>
        <v>MANELC</v>
      </c>
      <c r="R21" t="s">
        <v>197</v>
      </c>
      <c r="S21" s="131">
        <v>1.0416666666666666E-2</v>
      </c>
    </row>
    <row r="22" spans="2:19" x14ac:dyDescent="0.2">
      <c r="B22" s="123"/>
      <c r="C22" s="1" t="s">
        <v>98</v>
      </c>
      <c r="P22" s="1" t="s">
        <v>185</v>
      </c>
      <c r="Q22" s="1" t="str">
        <f>DemTechs_INDF!P$6</f>
        <v>MANELC</v>
      </c>
      <c r="R22" t="s">
        <v>198</v>
      </c>
      <c r="S22" s="129">
        <v>1.0416666666666666E-2</v>
      </c>
    </row>
    <row r="23" spans="2:19" x14ac:dyDescent="0.2">
      <c r="B23" s="47"/>
      <c r="C23" s="1" t="s">
        <v>99</v>
      </c>
      <c r="P23" s="1" t="s">
        <v>185</v>
      </c>
      <c r="Q23" s="1" t="str">
        <f>DemTechs_INDF!P$6</f>
        <v>MANELC</v>
      </c>
      <c r="R23" t="s">
        <v>199</v>
      </c>
      <c r="S23" s="129">
        <v>1.0416666666666666E-2</v>
      </c>
    </row>
    <row r="24" spans="2:19" x14ac:dyDescent="0.2">
      <c r="P24" s="1" t="s">
        <v>185</v>
      </c>
      <c r="Q24" s="1" t="str">
        <f>DemTechs_INDF!P$6</f>
        <v>MANELC</v>
      </c>
      <c r="R24" t="s">
        <v>200</v>
      </c>
      <c r="S24" s="129">
        <v>1.0416666666666666E-2</v>
      </c>
    </row>
    <row r="25" spans="2:19" x14ac:dyDescent="0.2">
      <c r="P25" s="1" t="s">
        <v>185</v>
      </c>
      <c r="Q25" s="1" t="str">
        <f>DemTechs_INDF!P$6</f>
        <v>MANELC</v>
      </c>
      <c r="R25" t="s">
        <v>201</v>
      </c>
      <c r="S25" s="131">
        <v>1.0416666666666666E-2</v>
      </c>
    </row>
    <row r="26" spans="2:19" x14ac:dyDescent="0.2">
      <c r="P26" s="1" t="s">
        <v>185</v>
      </c>
      <c r="Q26" s="1" t="str">
        <f>DemTechs_INDF!P$6</f>
        <v>MANELC</v>
      </c>
      <c r="R26" t="s">
        <v>202</v>
      </c>
      <c r="S26" s="129">
        <v>1.0416666666666666E-2</v>
      </c>
    </row>
    <row r="27" spans="2:19" x14ac:dyDescent="0.2">
      <c r="P27" s="1" t="s">
        <v>185</v>
      </c>
      <c r="Q27" s="1" t="str">
        <f>DemTechs_INDF!P$6</f>
        <v>MANELC</v>
      </c>
      <c r="R27" t="s">
        <v>203</v>
      </c>
      <c r="S27" s="129">
        <v>1.0416666666666666E-2</v>
      </c>
    </row>
    <row r="28" spans="2:19" x14ac:dyDescent="0.2">
      <c r="P28" s="1" t="s">
        <v>185</v>
      </c>
      <c r="Q28" s="1" t="str">
        <f>DemTechs_INDF!P$6</f>
        <v>MANELC</v>
      </c>
      <c r="R28" t="s">
        <v>204</v>
      </c>
      <c r="S28" s="129">
        <v>1.0416666666666666E-2</v>
      </c>
    </row>
    <row r="29" spans="2:19" x14ac:dyDescent="0.2">
      <c r="P29" s="1" t="s">
        <v>185</v>
      </c>
      <c r="Q29" s="1" t="str">
        <f>DemTechs_INDF!P$6</f>
        <v>MANELC</v>
      </c>
      <c r="R29" t="s">
        <v>205</v>
      </c>
      <c r="S29" s="131">
        <v>1.0416666666666666E-2</v>
      </c>
    </row>
    <row r="30" spans="2:19" x14ac:dyDescent="0.2">
      <c r="P30" s="1" t="s">
        <v>185</v>
      </c>
      <c r="Q30" s="1" t="str">
        <f>DemTechs_INDF!P$6</f>
        <v>MANELC</v>
      </c>
      <c r="R30" t="s">
        <v>206</v>
      </c>
      <c r="S30" s="129">
        <v>1.0416666666666666E-2</v>
      </c>
    </row>
    <row r="31" spans="2:19" x14ac:dyDescent="0.2">
      <c r="P31" s="1" t="s">
        <v>185</v>
      </c>
      <c r="Q31" s="1" t="str">
        <f>DemTechs_INDF!P$6</f>
        <v>MANELC</v>
      </c>
      <c r="R31" t="s">
        <v>207</v>
      </c>
      <c r="S31" s="129">
        <v>1.0416666666666666E-2</v>
      </c>
    </row>
    <row r="32" spans="2:19" x14ac:dyDescent="0.2">
      <c r="P32" s="1" t="s">
        <v>185</v>
      </c>
      <c r="Q32" s="1" t="str">
        <f>DemTechs_INDF!P$6</f>
        <v>MANELC</v>
      </c>
      <c r="R32" t="s">
        <v>208</v>
      </c>
      <c r="S32" s="129">
        <v>1.0416666666666666E-2</v>
      </c>
    </row>
    <row r="33" spans="16:19" x14ac:dyDescent="0.2">
      <c r="P33" s="1" t="s">
        <v>185</v>
      </c>
      <c r="Q33" s="1" t="str">
        <f>DemTechs_INDF!P$6</f>
        <v>MANELC</v>
      </c>
      <c r="R33" t="s">
        <v>209</v>
      </c>
      <c r="S33" s="131">
        <v>1.0416666666666666E-2</v>
      </c>
    </row>
    <row r="34" spans="16:19" x14ac:dyDescent="0.2">
      <c r="P34" s="1" t="s">
        <v>185</v>
      </c>
      <c r="Q34" s="1" t="str">
        <f>DemTechs_INDF!P$6</f>
        <v>MANELC</v>
      </c>
      <c r="R34" t="s">
        <v>210</v>
      </c>
      <c r="S34" s="129">
        <v>1.0416666666666666E-2</v>
      </c>
    </row>
    <row r="35" spans="16:19" x14ac:dyDescent="0.2">
      <c r="P35" s="1" t="s">
        <v>185</v>
      </c>
      <c r="Q35" s="1" t="str">
        <f>DemTechs_INDF!P$6</f>
        <v>MANELC</v>
      </c>
      <c r="R35" t="s">
        <v>211</v>
      </c>
      <c r="S35" s="129">
        <v>1.0416666666666666E-2</v>
      </c>
    </row>
    <row r="36" spans="16:19" x14ac:dyDescent="0.2">
      <c r="P36" s="1" t="s">
        <v>185</v>
      </c>
      <c r="Q36" s="1" t="str">
        <f>DemTechs_INDF!P$6</f>
        <v>MANELC</v>
      </c>
      <c r="R36" t="s">
        <v>212</v>
      </c>
      <c r="S36" s="129">
        <v>3.125E-2</v>
      </c>
    </row>
    <row r="37" spans="16:19" x14ac:dyDescent="0.2">
      <c r="P37" s="1" t="s">
        <v>185</v>
      </c>
      <c r="Q37" s="1" t="str">
        <f>DemTechs_INDF!P$6</f>
        <v>MANELC</v>
      </c>
      <c r="R37" t="s">
        <v>213</v>
      </c>
      <c r="S37" s="131">
        <v>3.125E-2</v>
      </c>
    </row>
    <row r="38" spans="16:19" x14ac:dyDescent="0.2">
      <c r="P38" s="1" t="s">
        <v>185</v>
      </c>
      <c r="Q38" s="1" t="str">
        <f>DemTechs_INDF!P$6</f>
        <v>MANELC</v>
      </c>
      <c r="R38" t="s">
        <v>214</v>
      </c>
      <c r="S38" s="129">
        <v>3.125E-2</v>
      </c>
    </row>
    <row r="39" spans="16:19" x14ac:dyDescent="0.2">
      <c r="P39" s="1" t="s">
        <v>185</v>
      </c>
      <c r="Q39" s="1" t="str">
        <f>DemTechs_INDF!P$6</f>
        <v>MANELC</v>
      </c>
      <c r="R39" t="s">
        <v>215</v>
      </c>
      <c r="S39" s="129">
        <v>3.125E-2</v>
      </c>
    </row>
    <row r="40" spans="16:19" x14ac:dyDescent="0.2">
      <c r="P40" s="1" t="s">
        <v>185</v>
      </c>
      <c r="Q40" s="1" t="str">
        <f>DemTechs_INDF!P$6</f>
        <v>MANELC</v>
      </c>
      <c r="R40" t="s">
        <v>216</v>
      </c>
      <c r="S40" s="129">
        <v>3.125E-2</v>
      </c>
    </row>
    <row r="41" spans="16:19" x14ac:dyDescent="0.2">
      <c r="P41" s="1" t="s">
        <v>185</v>
      </c>
      <c r="Q41" s="1" t="str">
        <f>DemTechs_INDF!P$6</f>
        <v>MANELC</v>
      </c>
      <c r="R41" t="s">
        <v>217</v>
      </c>
      <c r="S41" s="131">
        <v>3.125E-2</v>
      </c>
    </row>
    <row r="42" spans="16:19" x14ac:dyDescent="0.2">
      <c r="P42" s="1" t="s">
        <v>185</v>
      </c>
      <c r="Q42" s="1" t="str">
        <f>DemTechs_INDF!P$6</f>
        <v>MANELC</v>
      </c>
      <c r="R42" t="s">
        <v>218</v>
      </c>
      <c r="S42" s="129">
        <v>3.125E-2</v>
      </c>
    </row>
    <row r="43" spans="16:19" x14ac:dyDescent="0.2">
      <c r="P43" s="1" t="s">
        <v>185</v>
      </c>
      <c r="Q43" s="1" t="str">
        <f>DemTechs_INDF!P$6</f>
        <v>MANELC</v>
      </c>
      <c r="R43" t="s">
        <v>219</v>
      </c>
      <c r="S43" s="129">
        <v>3.125E-2</v>
      </c>
    </row>
    <row r="44" spans="16:19" x14ac:dyDescent="0.2">
      <c r="P44" s="1" t="s">
        <v>185</v>
      </c>
      <c r="Q44" s="1" t="str">
        <f>DemTechs_INDF!P$6</f>
        <v>MANELC</v>
      </c>
      <c r="R44" t="s">
        <v>220</v>
      </c>
      <c r="S44" s="129">
        <v>3.125E-2</v>
      </c>
    </row>
    <row r="45" spans="16:19" x14ac:dyDescent="0.2">
      <c r="P45" s="1" t="s">
        <v>185</v>
      </c>
      <c r="Q45" s="1" t="str">
        <f>DemTechs_INDF!P$6</f>
        <v>MANELC</v>
      </c>
      <c r="R45" t="s">
        <v>221</v>
      </c>
      <c r="S45" s="131">
        <v>3.125E-2</v>
      </c>
    </row>
    <row r="46" spans="16:19" x14ac:dyDescent="0.2">
      <c r="P46" s="1" t="s">
        <v>185</v>
      </c>
      <c r="Q46" s="1" t="str">
        <f>DemTechs_INDF!P$6</f>
        <v>MANELC</v>
      </c>
      <c r="R46" t="s">
        <v>222</v>
      </c>
      <c r="S46" s="129">
        <v>3.125E-2</v>
      </c>
    </row>
    <row r="47" spans="16:19" x14ac:dyDescent="0.2">
      <c r="P47" s="1" t="s">
        <v>185</v>
      </c>
      <c r="Q47" s="1" t="str">
        <f>DemTechs_INDF!P$6</f>
        <v>MANELC</v>
      </c>
      <c r="R47" t="s">
        <v>223</v>
      </c>
      <c r="S47" s="129">
        <v>3.125E-2</v>
      </c>
    </row>
    <row r="48" spans="16:19" x14ac:dyDescent="0.2">
      <c r="P48" s="1" t="s">
        <v>185</v>
      </c>
      <c r="Q48" s="1" t="str">
        <f>DemTechs_INDF!P$6</f>
        <v>MANELC</v>
      </c>
      <c r="R48" t="s">
        <v>224</v>
      </c>
      <c r="S48" s="129">
        <v>3.125E-2</v>
      </c>
    </row>
    <row r="49" spans="16:19" x14ac:dyDescent="0.2">
      <c r="P49" s="1" t="s">
        <v>185</v>
      </c>
      <c r="Q49" s="1" t="str">
        <f>DemTechs_INDF!P$6</f>
        <v>MANELC</v>
      </c>
      <c r="R49" t="s">
        <v>225</v>
      </c>
      <c r="S49" s="131">
        <v>3.125E-2</v>
      </c>
    </row>
    <row r="50" spans="16:19" x14ac:dyDescent="0.2">
      <c r="P50" s="1" t="s">
        <v>185</v>
      </c>
      <c r="Q50" s="1" t="str">
        <f>DemTechs_INDF!P$6</f>
        <v>MANELC</v>
      </c>
      <c r="R50" t="s">
        <v>226</v>
      </c>
      <c r="S50" s="129">
        <v>3.125E-2</v>
      </c>
    </row>
    <row r="51" spans="16:19" x14ac:dyDescent="0.2">
      <c r="P51" s="1" t="s">
        <v>185</v>
      </c>
      <c r="Q51" s="1" t="str">
        <f>DemTechs_INDF!P$6</f>
        <v>MANELC</v>
      </c>
      <c r="R51" t="s">
        <v>227</v>
      </c>
      <c r="S51" s="129">
        <v>3.125E-2</v>
      </c>
    </row>
    <row r="52" spans="16:19" x14ac:dyDescent="0.2">
      <c r="P52" s="1" t="s">
        <v>185</v>
      </c>
      <c r="Q52" s="1" t="str">
        <f>DemTechs_INDF!P$6</f>
        <v>MANELC</v>
      </c>
      <c r="R52" t="s">
        <v>228</v>
      </c>
      <c r="S52" s="129">
        <v>3.125E-2</v>
      </c>
    </row>
    <row r="53" spans="16:19" x14ac:dyDescent="0.2">
      <c r="P53" s="1" t="s">
        <v>185</v>
      </c>
      <c r="Q53" s="1" t="str">
        <f>DemTechs_INDF!P$6</f>
        <v>MANELC</v>
      </c>
      <c r="R53" t="s">
        <v>229</v>
      </c>
      <c r="S53" s="131">
        <v>3.125E-2</v>
      </c>
    </row>
    <row r="54" spans="16:19" x14ac:dyDescent="0.2">
      <c r="P54" s="1" t="s">
        <v>185</v>
      </c>
      <c r="Q54" s="1" t="str">
        <f>DemTechs_INDF!P$6</f>
        <v>MANELC</v>
      </c>
      <c r="R54" t="s">
        <v>230</v>
      </c>
      <c r="S54" s="129">
        <v>3.125E-2</v>
      </c>
    </row>
    <row r="55" spans="16:19" x14ac:dyDescent="0.2">
      <c r="P55" s="1" t="s">
        <v>185</v>
      </c>
      <c r="Q55" s="1" t="str">
        <f>DemTechs_INDF!P$6</f>
        <v>MANELC</v>
      </c>
      <c r="R55" t="s">
        <v>231</v>
      </c>
      <c r="S55" s="129">
        <v>3.125E-2</v>
      </c>
    </row>
    <row r="56" spans="16:19" x14ac:dyDescent="0.2">
      <c r="P56" s="1" t="s">
        <v>185</v>
      </c>
      <c r="Q56" s="1" t="str">
        <f>DemTechs_INDF!P$6</f>
        <v>MANELC</v>
      </c>
      <c r="R56" t="s">
        <v>232</v>
      </c>
      <c r="S56" s="129">
        <v>3.125E-2</v>
      </c>
    </row>
    <row r="57" spans="16:19" x14ac:dyDescent="0.2">
      <c r="P57" s="1" t="s">
        <v>185</v>
      </c>
      <c r="Q57" s="1" t="str">
        <f>DemTechs_INDF!P$6</f>
        <v>MANELC</v>
      </c>
      <c r="R57" t="s">
        <v>233</v>
      </c>
      <c r="S57" s="131">
        <v>3.125E-2</v>
      </c>
    </row>
    <row r="58" spans="16:19" x14ac:dyDescent="0.2">
      <c r="P58" s="1" t="s">
        <v>185</v>
      </c>
      <c r="Q58" s="1" t="str">
        <f>DemTechs_INDF!P$6</f>
        <v>MANELC</v>
      </c>
      <c r="R58" t="s">
        <v>234</v>
      </c>
      <c r="S58" s="129">
        <v>3.125E-2</v>
      </c>
    </row>
    <row r="59" spans="16:19" x14ac:dyDescent="0.2">
      <c r="P59" s="1" t="s">
        <v>185</v>
      </c>
      <c r="Q59" s="1" t="str">
        <f>DemTechs_INDF!P$6</f>
        <v>MANELC</v>
      </c>
      <c r="R59" t="s">
        <v>235</v>
      </c>
      <c r="S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abSelected="1"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2025-11-05T16:56:37Z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