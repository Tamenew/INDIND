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6E043A04-99D1-4A4B-87B2-CD8EFB4920EA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45" l="1"/>
  <c r="G16" i="145"/>
  <c r="H16" i="145"/>
  <c r="I16" i="145"/>
  <c r="J16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F11" i="145"/>
  <c r="G11" i="145"/>
  <c r="H11" i="145"/>
  <c r="I11" i="145"/>
  <c r="J11" i="145"/>
  <c r="K11" i="145"/>
  <c r="F10" i="145"/>
  <c r="G10" i="145"/>
  <c r="H10" i="145"/>
  <c r="I10" i="145"/>
  <c r="J10" i="145"/>
  <c r="K10" i="145"/>
  <c r="F9" i="145"/>
  <c r="G9" i="145"/>
  <c r="H9" i="145"/>
  <c r="I9" i="145"/>
  <c r="J9" i="145"/>
  <c r="K9" i="145"/>
  <c r="F15" i="145"/>
  <c r="G15" i="145"/>
  <c r="H15" i="145"/>
  <c r="I15" i="145"/>
  <c r="J15" i="145"/>
  <c r="K15" i="145"/>
  <c r="E15" i="145"/>
  <c r="F14" i="145"/>
  <c r="G14" i="145"/>
  <c r="H14" i="145"/>
  <c r="I14" i="145"/>
  <c r="J14" i="145"/>
  <c r="K14" i="145"/>
  <c r="E14" i="145"/>
  <c r="F13" i="145"/>
  <c r="G13" i="145"/>
  <c r="H13" i="145"/>
  <c r="I13" i="145"/>
  <c r="J13" i="145"/>
  <c r="K13" i="145"/>
  <c r="E13" i="145"/>
  <c r="E16" i="145"/>
  <c r="E11" i="145"/>
  <c r="E10" i="145"/>
  <c r="E9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<sst xmlns="http://schemas.openxmlformats.org/spreadsheetml/2006/main" count="868" uniqueCount="461">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</sst>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C46" zoomScale="122" zoomScaleNormal="122" workbookViewId="0">
      <selection activeCell="O56" sqref="O56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P17" sqref="P17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abSelected="1" topLeftCell="C4" zoomScale="226" zoomScaleNormal="226" workbookViewId="0">
      <selection activeCell="L13" sqref="L13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EBF!D62</f>
        <v>2026.6671111111111</v>
      </c>
      <c r="F9" s="124">
        <f>E9*(1+$M$9)^(F6-E6)</f>
        <v>2494.7129087774151</v>
      </c>
      <c r="G9" s="124">
        <f t="shared" ref="G9:K9" si="0">F9*(1+$M$9)^(G6-F6)</f>
        <v>3527.0977708315477</v>
      </c>
      <c r="H9" s="124">
        <f t="shared" si="0"/>
        <v>4986.7135577943327</v>
      </c>
      <c r="I9" s="124">
        <f t="shared" si="0"/>
        <v>7050.3608698170856</v>
      </c>
      <c r="J9" s="124">
        <f t="shared" si="0"/>
        <v>9968.0055448450566</v>
      </c>
      <c r="K9" s="124">
        <f t="shared" si="0"/>
        <v>14093.056565009505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EBF!D63</f>
        <v>2791.0050000000001</v>
      </c>
      <c r="F10" s="124">
        <f>E10*(1+$M$10)^(F6-E6)</f>
        <v>4849.7006557037557</v>
      </c>
      <c r="G10" s="124">
        <f t="shared" ref="G10:K10" si="1">F10*(1+$M$10)^(G6-F6)</f>
        <v>12179.761857336442</v>
      </c>
      <c r="H10" s="124">
        <f t="shared" si="1"/>
        <v>30588.81556472079</v>
      </c>
      <c r="I10" s="124">
        <f t="shared" si="1"/>
        <v>76822.16192830597</v>
      </c>
      <c r="J10" s="124">
        <f t="shared" si="1"/>
        <v>192934.71990937262</v>
      </c>
      <c r="K10" s="124">
        <f t="shared" si="1"/>
        <v>484545.15223415685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EBF!D64</f>
        <v>2446.2078055555553</v>
      </c>
      <c r="F11" s="124">
        <f t="shared" ref="F11:K11" si="2">E11*(1+$M$11)^(F6-E6)</f>
        <v>2929.013763125804</v>
      </c>
      <c r="G11" s="124">
        <f t="shared" si="2"/>
        <v>3954.5905146553259</v>
      </c>
      <c r="H11" s="124">
        <f t="shared" si="2"/>
        <v>5339.2668670536987</v>
      </c>
      <c r="I11" s="124">
        <f t="shared" si="2"/>
        <v>7208.7794101488907</v>
      </c>
      <c r="J11" s="124">
        <f t="shared" si="2"/>
        <v>9732.8906529938286</v>
      </c>
      <c r="K11" s="124">
        <f t="shared" si="2"/>
        <v>13140.804437679151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0.38423060843780699</v>
      </c>
      <c r="F13" s="266">
        <f t="shared" ref="F13:K13" si="3">F10/(SUM(F9:F11))</f>
        <v>0.47206258447670485</v>
      </c>
      <c r="G13" s="266">
        <f t="shared" si="3"/>
        <v>0.61947423861724726</v>
      </c>
      <c r="H13" s="266">
        <f t="shared" si="3"/>
        <v>0.74762234113349524</v>
      </c>
      <c r="I13" s="266">
        <f t="shared" si="3"/>
        <v>0.8434460209257858</v>
      </c>
      <c r="J13" s="266">
        <f t="shared" si="3"/>
        <v>0.907349029487583</v>
      </c>
      <c r="K13" s="266">
        <f t="shared" si="3"/>
        <v>0.94678589723630358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0.27900614194640094</v>
      </c>
      <c r="F14" s="266">
        <f t="shared" ref="F14:K14" si="4">F9/(F9+F10+F11)</f>
        <v>0.2428316110314587</v>
      </c>
      <c r="G14" s="266">
        <f t="shared" si="4"/>
        <v>0.17939153751174269</v>
      </c>
      <c r="H14" s="266">
        <f t="shared" si="4"/>
        <v>0.12188044537887197</v>
      </c>
      <c r="I14" s="266">
        <f t="shared" si="4"/>
        <v>7.7407334973047581E-2</v>
      </c>
      <c r="J14" s="266">
        <f t="shared" si="4"/>
        <v>4.6878343935661086E-2</v>
      </c>
      <c r="K14" s="266">
        <f t="shared" si="4"/>
        <v>2.7537386646387156E-2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0.33676324961579202</v>
      </c>
      <c r="F15" s="266">
        <f t="shared" ref="F15:K15" si="5">F11/(F9+F10+F11)</f>
        <v>0.28510580449183648</v>
      </c>
      <c r="G15" s="266">
        <f t="shared" si="5"/>
        <v>0.20113422387100999</v>
      </c>
      <c r="H15" s="266">
        <f t="shared" si="5"/>
        <v>0.13049721348763263</v>
      </c>
      <c r="I15" s="266">
        <f t="shared" si="5"/>
        <v>7.9146644101166494E-2</v>
      </c>
      <c r="J15" s="266">
        <f t="shared" si="5"/>
        <v>4.5772626576755966E-2</v>
      </c>
      <c r="K15" s="266">
        <f t="shared" si="5"/>
        <v>2.5676716117309283E-2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0.99999999999999989</v>
      </c>
      <c r="H16" s="277">
        <f t="shared" si="6"/>
        <v>0.99999999999999989</v>
      </c>
      <c r="I16" s="277">
        <f t="shared" si="6"/>
        <v>0.99999999999999989</v>
      </c>
      <c r="J16" s="277">
        <f t="shared" si="6"/>
        <v>1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2025-11-08T08:14:24Z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