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285782BF-D7C4-497E-B78F-E4455E02C31D}" xr6:coauthVersionLast="47" xr6:coauthVersionMax="47" xr10:uidLastSave="{00000000-0000-0000-0000-000000000000}"/>
  <bookViews>
    <workbookView xWindow="-23148" yWindow="-108" windowWidth="23256" windowHeight="12456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43" l="1"/>
  <c r="D20" i="143"/>
  <c r="E16" i="143"/>
  <c r="E17" i="143"/>
  <c r="E20" i="143"/>
  <c r="E18" i="143"/>
  <c r="E21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27" i="143"/>
  <c r="D5" i="133"/>
  <c r="I23" i="137"/>
  <c r="D6" i="133"/>
  <c r="I24" i="137"/>
  <c r="G28" i="143"/>
  <c r="H27" i="143"/>
  <c r="F21" i="143"/>
  <c r="H28" i="143"/>
  <c r="F20" i="143"/>
  <c r="J18" i="133"/>
  <c r="I26" i="137"/>
  <c r="E19" i="143"/>
  <c r="G29" i="143"/>
  <c r="H29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<sst xmlns="http://schemas.openxmlformats.org/spreadsheetml/2006/main" count="891" uniqueCount="467">
  <si>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</si>
  <si>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</si>
  <si>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</si>
  <si>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</si>
  <si>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</si>
  <si>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</si>
  <si>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</si>
  <si>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</si>
  <si>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</si>
  <si>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</si>
  <si>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</si>
  <si>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</si>
  <si>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</si>
  <si>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</si>
  <si>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</si>
  <si>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</si>
  <si>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</si>
  <si>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</si>
  <si>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</si>
  <si>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</si>
  <si>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</si>
  <si>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</si>
  <si>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</si>
  <si>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</si>
  <si>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</si>
  <si>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</si>
  <si>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</si>
  <si>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</si>
  <si>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</si>
  <si>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</si>
  <si>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</si>
  <si>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</si>
  <si>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</si>
  <si>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</si>
  <si>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</si>
  <si>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</si>
  <si>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</si>
  <si>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</si>
  <si>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</si>
  <si>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</si>
  <si>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</si>
  <si>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</si>
  <si>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</si>
  <si>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</si>
  <si>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</si>
  <si>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</si>
  <si>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</si>
  <si>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</si>
  <si>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</si>
  <si>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</si>
  <si>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</si>
  <si>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</si>
  <si>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</si>
  <si>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</si>
  <si>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</si>
  <si>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</si>
  <si>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</si>
  <si>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</si>
  <si>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</si>
  <si>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</si>
  <si>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</si>
  <si>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</si>
  <si>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</si>
  <si>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</si>
  <si>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</si>
  <si>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</si>
  <si>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</si>
  <si>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</si>
  <si>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</si>
  <si>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</si>
  <si>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</si>
  <si>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</si>
  <si>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</si>
  <si>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</si>
  <si>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</si>
  <si>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</si>
  <si>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</si>
  <si>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</si>
  <si>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</si>
  <si>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</si>
  <si>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</si>
  <si>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</si>
  <si>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</si>
  <si>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</si>
  <si>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</si>
  <si>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</si>
  <si>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</si>
  <si>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</si>
  <si>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</si>
  <si>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</si>
  <si>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</si>
  <si>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</si>
  <si>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</si>
  <si>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</si>
  <si>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</si>
  <si>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</si>
  <si>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</si>
  <si>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</si>
  <si>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</si>
  <si>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</si>
  <si>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</si>
  <si>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</si>
  <si>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</si>
  <si>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</si>
  <si>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</si>
  <si>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</si>
  <si>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</si>
  <si>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</si>
  <si>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</si>
  <si>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</si>
  <si>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</si>
  <si>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</si>
  <si>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</si>
  <si>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</si>
  <si>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</si>
  <si>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</si>
  <si>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</si>
  <si>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</si>
  <si>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</si>
  <si>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</si>
  <si>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</si>
  <si>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</si>
  <si>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</si>
  <si>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</si>
  <si>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</si>
  <si>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</si>
  <si>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</si>
  <si>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</si>
  <si>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</si>
  <si>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</si>
  <si>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</si>
  <si>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</si>
  <si>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</si>
  <si>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</si>
  <si>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</si>
  <si>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</si>
  <si>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</si>
  <si>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</si>
  <si>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</si>
  <si>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</si>
  <si>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</si>
  <si>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</si>
  <si>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</si>
  <si>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</si>
  <si>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</si>
  <si>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</si>
  <si>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</si>
  <si>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</si>
  <si>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</si>
  <si>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</si>
  <si>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</si>
  <si>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</si>
  <si>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</si>
  <si>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</si>
  <si>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</si>
  <si>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</si>
  <si>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</si>
  <si>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</si>
  <si>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</si>
  <si>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</si>
  <si>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</si>
  <si>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</si>
  <si>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</si>
  <si>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</si>
  <si>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</si>
  <si>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</si>
  <si>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</si>
  <si>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</si>
  <si>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</si>
  <si>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</si>
  <si>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</si>
  <si>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</si>
  <si>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</si>
  <si>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</si>
  <si>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</si>
  <si>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</si>
  <si>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</si>
  <si>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</si>
  <si>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</si>
  <si>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</si>
  <si>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</si>
  <si>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</si>
  <si>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</si>
  <si>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</si>
  <si>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</si>
  <si>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</si>
  <si>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</si>
  <si>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</si>
  <si>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</si>
  <si>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</si>
  <si>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</si>
  <si>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</si>
  <si>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</si>
  <si>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</si>
  <si>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</si>
  <si>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</si>
  <si>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</si>
  <si>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</si>
  <si>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</si>
  <si>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</si>
  <si>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</si>
  <si>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</si>
  <si>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</si>
  <si>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</si>
  <si>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</si>
  <si>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</si>
  <si>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</si>
  <si>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</si>
  <si>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</si>
  <si>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</si>
  <si>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</si>
  <si>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</si>
  <si>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</si>
  <si>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</si>
  <si>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</si>
  <si>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</si>
  <si>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</si>
  <si>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</si>
  <si>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</si>
  <si>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</si>
  <si>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</si>
  <si>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</si>
  <si>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</si>
  <si>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</si>
  <si>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</si>
  <si>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</si>
  <si>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</si>
  <si>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</si>
  <si>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</si>
  <si>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</si>
  <si>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</si>
  <si>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</si>
  <si>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</si>
  <si>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</si>
  <si>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</si>
  <si>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</si>
  <si>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</si>
  <si>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</si>
  <si>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</si>
  <si>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</si>
  <si>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</si>
  <si>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</si>
  <si>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</si>
  <si>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</si>
  <si>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</si>
  <si>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</si>
  <si>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</si>
  <si>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</si>
  <si>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</si>
  <si>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</si>
  <si>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</si>
  <si>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</si>
  <si>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</si>
  <si>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</si>
  <si>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</si>
  <si>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</si>
  <si>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</si>
  <si>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</si>
  <si>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</si>
  <si>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</si>
  <si>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</si>
  <si>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</si>
  <si>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</si>
  <si>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</si>
  <si>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</si>
  <si>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</si>
  <si>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</si>
  <si>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</si>
  <si>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</si>
  <si>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</si>
  <si>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</si>
  <si>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</si>
  <si>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</si>
  <si>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</si>
  <si>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</si>
  <si>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</si>
  <si>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</si>
  <si>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</si>
  <si>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</si>
  <si>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</si>
  <si>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</si>
  <si>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</si>
  <si>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</si>
  <si>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</si>
  <si>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</si>
  <si>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</si>
  <si>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</si>
  <si>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</si>
  <si>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</si>
  <si>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</si>
  <si>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</si>
  <si>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</si>
  <si>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</si>
  <si>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</si>
  <si>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</si>
  <si>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</si>
  <si>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</si>
  <si>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</si>
  <si>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</si>
  <si>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</si>
  <si>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</si>
  <si>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</si>
  <si>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</si>
  <si>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</si>
  <si>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</si>
  <si>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</si>
  <si>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</si>
  <si>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</si>
  <si>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</si>
  <si>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</si>
  <si>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</si>
  <si>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</si>
  <si>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</si>
  <si>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</si>
  <si>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</si>
  <si>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</si>
  <si>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</si>
  <si>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</si>
  <si>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</si>
  <si>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</si>
  <si>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</si>
  <si>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</si>
  <si>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</si>
  <si>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</si>
  <si>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</si>
  <si>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</si>
  <si>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</si>
  <si>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</si>
  <si>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</si>
  <si>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</si>
  <si>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</si>
  <si>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</si>
  <si>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</si>
  <si>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</si>
  <si>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</si>
  <si>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</si>
  <si>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</si>
  <si>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</si>
  <si>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</si>
  <si>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</si>
  <si>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</si>
  <si>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</si>
  <si>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</si>
  <si>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</si>
  <si>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</si>
  <si>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</si>
  <si>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</si>
  <si>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</si>
  <si>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</si>
  <si>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</si>
  <si>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</si>
  <si>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</si>
  <si>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</si>
  <si>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</si>
  <si>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</si>
  <si>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</si>
  <si>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</si>
  <si>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</si>
  <si>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</si>
  <si>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</si>
  <si>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</si>
  <si>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</si>
  <si>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</si>
  <si>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</si>
  <si>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</si>
  <si>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</si>
  <si>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</si>
  <si>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</si>
  <si>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</si>
  <si>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</si>
  <si>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</si>
  <si>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</si>
  <si>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</si>
  <si>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</si>
  <si>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</si>
  <si>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</si>
  <si>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</si>
  <si>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</si>
  <si>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</si>
  <si>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</si>
  <si>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</si>
  <si>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</si>
  <si>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</si>
  <si>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</si>
  <si>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</si>
  <si>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</si>
  <si>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</si>
  <si>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</si>
  <si>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</si>
  <si>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</si>
  <si>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</si>
  <si>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</si>
  <si>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</si>
  <si>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</si>
  <si>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</si>
  <si>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</si>
  <si>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</si>
  <si>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</si>
  <si>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</si>
  <si>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</si>
  <si>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</si>
  <si>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</si>
  <si>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</si>
  <si>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</si>
  <si>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</si>
  <si>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</si>
  <si>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</si>
  <si>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</si>
  <si>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</si>
  <si>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</si>
  <si>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</si>
  <si>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</si>
  <si>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</si>
  <si>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</si>
  <si>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</si>
  <si>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</si>
  <si>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</si>
  <si>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</si>
  <si>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</si>
  <si>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</si>
  <si>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</si>
  <si>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</si>
  <si>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</si>
  <si>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</si>
  <si>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</si>
  <si>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</si>
  <si>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</si>
  <si>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</si>
  <si>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</si>
  <si>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</si>
  <si>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</si>
  <si>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</si>
  <si>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</si>
  <si>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</si>
  <si>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</si>
  <si>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</si>
  <si>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</si>
  <si>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</si>
  <si>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</si>
  <si>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</si>
  <si>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</si>
  <si>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</si>
  <si>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</si>
  <si>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</si>
  <si>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</si>
  <si>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</si>
  <si>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</si>
  <si>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</si>
  <si>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</si>
  <si>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</si>
  <si>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</si>
  <si>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</si>
  <si>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</si>
  <si>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</si>
  <si>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</si>
  <si>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</si>
  <si>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</si>
  <si>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</si>
  <si>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</si>
  <si>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</si>
  <si>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</si>
  <si>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</si>
  <si>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</si>
  <si>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</si>
  <si>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</si>
  <si>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</si>
  <si>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Heat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</si>
</sst>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166" fontId="30" fillId="0" borderId="0" xfId="9" applyNumberFormat="1" applyFont="1"/>
    <xf numFmtId="0" fontId="30" fillId="17" borderId="0" xfId="9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6" t="s">
        <v>142</v>
      </c>
      <c r="B2" s="287"/>
      <c r="C2" s="287"/>
      <c r="D2" s="287"/>
      <c r="E2" s="288"/>
      <c r="F2" s="286" t="s">
        <v>258</v>
      </c>
      <c r="G2" s="287"/>
      <c r="H2" s="287"/>
      <c r="I2" s="288"/>
      <c r="J2" s="292" t="s">
        <v>259</v>
      </c>
      <c r="K2" s="293"/>
      <c r="L2" s="293"/>
      <c r="M2" s="294"/>
      <c r="N2" s="286" t="s">
        <v>260</v>
      </c>
      <c r="O2" s="287"/>
      <c r="P2" s="287"/>
      <c r="Q2" s="287"/>
      <c r="R2" s="288"/>
      <c r="V2" s="179" t="s">
        <v>142</v>
      </c>
      <c r="W2" s="283" t="s">
        <v>261</v>
      </c>
      <c r="X2" s="284"/>
      <c r="Y2" s="284"/>
      <c r="Z2" s="284"/>
      <c r="AA2" s="285"/>
      <c r="AB2" s="283" t="s">
        <v>262</v>
      </c>
      <c r="AC2" s="284"/>
      <c r="AD2" s="284"/>
      <c r="AE2" s="284"/>
      <c r="AF2" s="285"/>
    </row>
    <row r="3" spans="1:32" ht="24.6" customHeight="1" thickBot="1" x14ac:dyDescent="0.3">
      <c r="A3" s="286" t="s">
        <v>263</v>
      </c>
      <c r="B3" s="287"/>
      <c r="C3" s="287"/>
      <c r="D3" s="287"/>
      <c r="E3" s="288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9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90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90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90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90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90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90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91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9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90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90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90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90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90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90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91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7" t="s">
        <v>352</v>
      </c>
      <c r="D1" s="297"/>
      <c r="E1" s="297"/>
      <c r="F1" s="297"/>
      <c r="G1" s="297" t="s">
        <v>353</v>
      </c>
      <c r="H1" s="297"/>
      <c r="I1" s="297"/>
      <c r="J1" s="297"/>
      <c r="K1" s="297" t="s">
        <v>354</v>
      </c>
      <c r="L1" s="297"/>
      <c r="M1" s="297" t="s">
        <v>355</v>
      </c>
      <c r="N1" s="297"/>
      <c r="O1" s="297" t="s">
        <v>356</v>
      </c>
      <c r="P1" s="297"/>
      <c r="Q1" s="297"/>
      <c r="R1" s="297" t="s">
        <v>356</v>
      </c>
      <c r="S1" s="297"/>
      <c r="T1" s="297"/>
      <c r="U1" s="297" t="s">
        <v>356</v>
      </c>
      <c r="V1" s="297"/>
      <c r="W1" s="297"/>
      <c r="X1" s="20" t="s">
        <v>357</v>
      </c>
      <c r="Y1" s="297" t="s">
        <v>358</v>
      </c>
      <c r="Z1" s="297"/>
      <c r="AA1" s="297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7" t="s">
        <v>360</v>
      </c>
      <c r="P2" s="297"/>
      <c r="Q2" s="297"/>
      <c r="R2" s="297" t="s">
        <v>363</v>
      </c>
      <c r="S2" s="297"/>
      <c r="T2" s="297"/>
      <c r="U2" s="297" t="s">
        <v>362</v>
      </c>
      <c r="V2" s="297"/>
      <c r="W2" s="297"/>
      <c r="X2" s="20" t="s">
        <v>112</v>
      </c>
      <c r="Y2" s="297" t="s">
        <v>364</v>
      </c>
      <c r="Z2" s="297"/>
      <c r="AA2" s="297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5" t="str">
        <f t="shared" si="1"/>
        <v>Installation Cost per kW</v>
      </c>
      <c r="D17" s="295"/>
      <c r="E17" s="295"/>
      <c r="F17" s="295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6" t="s">
        <v>414</v>
      </c>
      <c r="D42" s="296"/>
      <c r="E42" s="296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O26" sqref="O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3" zoomScale="118" zoomScaleNormal="118" workbookViewId="0">
      <selection activeCell="O24" sqref="O24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81" t="s">
        <v>82</v>
      </c>
      <c r="O9" s="281"/>
      <c r="P9" s="281" t="s">
        <v>461</v>
      </c>
      <c r="Q9" s="281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466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465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465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465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R21" s="97"/>
      <c r="S21" s="97"/>
    </row>
    <row r="22" spans="2:22" s="159" customFormat="1" x14ac:dyDescent="0.2">
      <c r="B22" s="97"/>
      <c r="C22" s="160"/>
      <c r="D22" s="93"/>
      <c r="E22" s="161"/>
      <c r="F22" s="162"/>
      <c r="N22" s="282"/>
      <c r="O22" s="282"/>
      <c r="P22" s="282"/>
      <c r="Q22" s="282"/>
      <c r="R22" s="97"/>
      <c r="S22" s="97"/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2025-11-08T16:18:56Z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