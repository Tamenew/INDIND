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F6E7BA8B-C8D8-410D-8034-B4A91580D971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43" l="1"/>
  <c r="B22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E18" i="143"/>
  <c r="G27" i="143"/>
  <c r="D5" i="133"/>
  <c r="I23" i="137"/>
  <c r="E16" i="143"/>
  <c r="D6" i="133"/>
  <c r="I24" i="137"/>
  <c r="E17" i="143"/>
  <c r="G28" i="143"/>
  <c r="H27" i="143"/>
  <c r="F21" i="143"/>
  <c r="H28" i="143"/>
  <c r="F20" i="143"/>
  <c r="J18" i="133"/>
  <c r="I26" i="137"/>
  <c r="E19" i="143"/>
  <c r="G29" i="143"/>
  <c r="H29" i="143"/>
  <c r="I30" i="137"/>
  <c r="E21" i="143"/>
  <c r="E20" i="143"/>
  <c r="D18" i="143"/>
  <c r="C21" i="143"/>
  <c r="D21" i="143"/>
  <c r="D20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<sst xmlns="http://schemas.openxmlformats.org/spreadsheetml/2006/main" count="906" uniqueCount="470">
  <si>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</si>
  <si>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</si>
  <si>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</si>
  <si>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</si>
  <si>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</si>
  <si>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</si>
  <si>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</si>
  <si>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</si>
  <si>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</si>
  <si>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</si>
  <si>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</si>
  <si>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</si>
  <si>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</si>
  <si>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</si>
  <si>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</si>
  <si>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</si>
  <si>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</si>
  <si>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</si>
  <si>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</si>
  <si>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</si>
  <si>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</si>
  <si>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</si>
  <si>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</si>
  <si>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</si>
  <si>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</si>
  <si>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</si>
  <si>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</si>
  <si>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</si>
  <si>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</si>
  <si>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</si>
  <si>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</si>
  <si>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</si>
  <si>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</si>
  <si>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</si>
  <si>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</si>
  <si>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</si>
  <si>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</si>
  <si>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</si>
  <si>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</si>
  <si>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</si>
  <si>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</si>
  <si>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</si>
  <si>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</si>
  <si>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</si>
  <si>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</si>
  <si>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</si>
  <si>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</si>
  <si>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</si>
  <si>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</si>
  <si>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</si>
  <si>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</si>
  <si>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</si>
  <si>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</si>
  <si>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</si>
  <si>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</si>
  <si>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</si>
  <si>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</si>
  <si>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</si>
  <si>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</si>
  <si>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</si>
  <si>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</si>
  <si>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</si>
  <si>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</si>
  <si>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</si>
  <si>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</si>
  <si>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</si>
  <si>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</si>
  <si>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</si>
  <si>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</si>
  <si>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</si>
  <si>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</si>
  <si>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</si>
  <si>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</si>
  <si>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</si>
  <si>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</si>
  <si>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</si>
  <si>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</si>
  <si>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</si>
  <si>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</si>
  <si>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</si>
  <si>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</si>
  <si>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</si>
  <si>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</si>
  <si>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</si>
  <si>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</si>
  <si>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</si>
  <si>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</si>
  <si>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</si>
  <si>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</si>
  <si>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</si>
  <si>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</si>
  <si>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</si>
  <si>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</si>
  <si>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</si>
  <si>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</si>
  <si>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</si>
  <si>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</si>
  <si>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</si>
  <si>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</si>
  <si>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</si>
  <si>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</si>
  <si>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</si>
  <si>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</si>
  <si>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</si>
  <si>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</si>
  <si>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</si>
  <si>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</si>
  <si>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</si>
  <si>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</si>
  <si>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</si>
  <si>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</si>
  <si>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</si>
  <si>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</si>
  <si>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</si>
  <si>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</si>
  <si>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</si>
  <si>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</si>
  <si>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</si>
  <si>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</si>
  <si>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</si>
  <si>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</si>
  <si>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</si>
  <si>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</si>
  <si>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</si>
  <si>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</si>
  <si>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</si>
  <si>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</si>
  <si>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</si>
  <si>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</si>
  <si>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</si>
  <si>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</si>
  <si>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</si>
  <si>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</si>
  <si>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</si>
  <si>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</si>
  <si>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</si>
  <si>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</si>
  <si>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</si>
  <si>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</si>
  <si>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</si>
  <si>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</si>
  <si>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</si>
  <si>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</si>
  <si>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</si>
  <si>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</si>
  <si>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</si>
  <si>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</si>
  <si>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</si>
  <si>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</si>
  <si>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</si>
  <si>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</si>
  <si>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</si>
  <si>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</si>
  <si>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</si>
  <si>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</si>
  <si>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</si>
  <si>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</si>
  <si>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</si>
  <si>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</si>
  <si>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</si>
  <si>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</si>
  <si>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</si>
  <si>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</si>
  <si>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</si>
  <si>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</si>
  <si>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</si>
  <si>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</si>
  <si>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</si>
  <si>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</si>
  <si>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</si>
  <si>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</si>
  <si>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</si>
  <si>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</si>
  <si>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</si>
  <si>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</si>
  <si>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</si>
  <si>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</si>
  <si>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</si>
  <si>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</si>
  <si>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</si>
  <si>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</si>
  <si>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</si>
  <si>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</si>
  <si>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</si>
  <si>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</si>
  <si>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</si>
  <si>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</si>
  <si>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</si>
  <si>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</si>
  <si>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</si>
  <si>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</si>
  <si>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</si>
  <si>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</si>
  <si>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</si>
  <si>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</si>
  <si>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</si>
  <si>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</si>
  <si>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</si>
  <si>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</si>
  <si>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</si>
  <si>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</si>
  <si>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</si>
  <si>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</si>
  <si>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</si>
  <si>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</si>
  <si>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</si>
  <si>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</si>
  <si>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</si>
  <si>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</si>
  <si>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</si>
  <si>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</si>
  <si>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</si>
  <si>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</si>
  <si>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</si>
  <si>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</si>
  <si>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</si>
  <si>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</si>
  <si>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</si>
  <si>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</si>
  <si>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</si>
  <si>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</si>
  <si>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</si>
  <si>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</si>
  <si>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</si>
  <si>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</si>
  <si>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</si>
  <si>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</si>
  <si>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</si>
  <si>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</si>
  <si>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</si>
  <si>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</si>
  <si>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</si>
  <si>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</si>
  <si>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</si>
  <si>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</si>
  <si>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</si>
  <si>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</si>
  <si>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</si>
  <si>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</si>
  <si>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</si>
  <si>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</si>
  <si>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</si>
  <si>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</si>
  <si>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</si>
  <si>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</si>
  <si>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</si>
  <si>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</si>
  <si>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</si>
  <si>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</si>
  <si>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</si>
  <si>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</si>
  <si>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</si>
  <si>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</si>
  <si>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</si>
  <si>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</si>
  <si>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</si>
  <si>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</si>
  <si>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</si>
  <si>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</si>
  <si>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</si>
  <si>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</si>
  <si>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</si>
  <si>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</si>
  <si>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</si>
  <si>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</si>
  <si>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</si>
  <si>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</si>
  <si>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</si>
  <si>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</si>
  <si>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</si>
  <si>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</si>
  <si>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</si>
  <si>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</si>
  <si>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</si>
  <si>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</si>
  <si>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</si>
  <si>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</si>
  <si>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</si>
  <si>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</si>
  <si>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</si>
  <si>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</si>
  <si>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</si>
  <si>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</si>
  <si>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</si>
  <si>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</si>
  <si>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</si>
  <si>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</si>
  <si>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</si>
  <si>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</si>
  <si>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</si>
  <si>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</si>
  <si>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</si>
  <si>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</si>
  <si>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</si>
  <si>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</si>
  <si>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</si>
  <si>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</si>
  <si>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</si>
  <si>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</si>
  <si>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</si>
  <si>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</si>
  <si>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</si>
  <si>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</si>
  <si>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</si>
  <si>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</si>
  <si>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</si>
  <si>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</si>
  <si>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</si>
  <si>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</si>
  <si>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</si>
  <si>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</si>
  <si>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</si>
  <si>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</si>
  <si>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</si>
  <si>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</si>
  <si>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</si>
  <si>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</si>
  <si>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</si>
  <si>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</si>
  <si>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</si>
  <si>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</si>
  <si>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</si>
  <si>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</si>
  <si>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</si>
  <si>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</si>
  <si>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</si>
  <si>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</si>
  <si>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</si>
  <si>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</si>
  <si>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</si>
  <si>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</si>
  <si>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</si>
  <si>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</si>
  <si>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</si>
  <si>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</si>
  <si>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</si>
  <si>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</si>
  <si>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</si>
  <si>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</si>
  <si>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</si>
  <si>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</si>
  <si>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</si>
  <si>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</si>
  <si>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</si>
  <si>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</si>
  <si>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</si>
  <si>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</si>
  <si>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</si>
  <si>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</si>
  <si>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</si>
  <si>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</si>
  <si>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</si>
  <si>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</si>
  <si>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</si>
  <si>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</si>
  <si>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</si>
  <si>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</si>
  <si>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</si>
  <si>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</si>
  <si>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</si>
  <si>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</si>
  <si>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</si>
  <si>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</si>
  <si>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</si>
  <si>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</si>
  <si>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</si>
  <si>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</si>
  <si>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</si>
  <si>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</si>
  <si>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</si>
  <si>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</si>
  <si>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</si>
  <si>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</si>
  <si>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</si>
  <si>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</si>
  <si>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</si>
  <si>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</si>
  <si>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</si>
  <si>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</si>
  <si>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</si>
  <si>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</si>
  <si>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</si>
  <si>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</si>
  <si>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</si>
  <si>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</si>
  <si>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</si>
  <si>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</si>
  <si>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</si>
  <si>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</si>
  <si>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</si>
  <si>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</si>
  <si>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</si>
  <si>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</si>
  <si>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</si>
  <si>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</si>
  <si>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</si>
  <si>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</si>
  <si>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</si>
  <si>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</si>
  <si>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</si>
  <si>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</si>
  <si>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</si>
  <si>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</si>
  <si>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</si>
  <si>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</si>
  <si>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</si>
  <si>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</si>
  <si>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</si>
  <si>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</si>
  <si>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</si>
  <si>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</si>
  <si>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</si>
  <si>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</si>
  <si>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</si>
  <si>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</si>
  <si>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</si>
  <si>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</si>
  <si>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</si>
  <si>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</si>
  <si>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</si>
  <si>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</si>
  <si>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</si>
  <si>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</si>
  <si>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</si>
  <si>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</si>
  <si>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</si>
  <si>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</si>
  <si>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</si>
  <si>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</si>
  <si>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</si>
  <si>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</si>
  <si>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</si>
  <si>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</si>
  <si>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</si>
  <si>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</si>
  <si>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</si>
  <si>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</si>
  <si>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</si>
  <si>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</si>
  <si>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</si>
  <si>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</si>
  <si>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</si>
  <si>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</si>
  <si>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</si>
  <si>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</si>
  <si>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</si>
  <si>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</si>
  <si>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</si>
  <si>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</si>
  <si>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</si>
  <si>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</si>
  <si>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</si>
  <si>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</si>
  <si>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</si>
  <si>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</si>
  <si>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</si>
  <si>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</si>
  <si>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</si>
  <si>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</si>
  <si>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</si>
  <si>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</si>
  <si>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</si>
  <si>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</si>
  <si>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</si>
  <si>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</si>
  <si>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Manufacturing heat from oil</t>
  </si>
  <si>
    <t>Manufacturing heat from coal</t>
  </si>
  <si>
    <t>HEAT</t>
  </si>
  <si>
    <t>Heat aggrigator</t>
  </si>
  <si>
    <t>Manufacturing 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</si>
</sst>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4" t="s">
        <v>142</v>
      </c>
      <c r="B2" s="285"/>
      <c r="C2" s="285"/>
      <c r="D2" s="285"/>
      <c r="E2" s="286"/>
      <c r="F2" s="284" t="s">
        <v>258</v>
      </c>
      <c r="G2" s="285"/>
      <c r="H2" s="285"/>
      <c r="I2" s="286"/>
      <c r="J2" s="290" t="s">
        <v>259</v>
      </c>
      <c r="K2" s="291"/>
      <c r="L2" s="291"/>
      <c r="M2" s="292"/>
      <c r="N2" s="284" t="s">
        <v>260</v>
      </c>
      <c r="O2" s="285"/>
      <c r="P2" s="285"/>
      <c r="Q2" s="285"/>
      <c r="R2" s="286"/>
      <c r="V2" s="179" t="s">
        <v>142</v>
      </c>
      <c r="W2" s="281" t="s">
        <v>261</v>
      </c>
      <c r="X2" s="282"/>
      <c r="Y2" s="282"/>
      <c r="Z2" s="282"/>
      <c r="AA2" s="283"/>
      <c r="AB2" s="281" t="s">
        <v>262</v>
      </c>
      <c r="AC2" s="282"/>
      <c r="AD2" s="282"/>
      <c r="AE2" s="282"/>
      <c r="AF2" s="283"/>
    </row>
    <row r="3" spans="1:32" ht="24.6" customHeight="1" thickBot="1" x14ac:dyDescent="0.3">
      <c r="A3" s="284" t="s">
        <v>263</v>
      </c>
      <c r="B3" s="285"/>
      <c r="C3" s="285"/>
      <c r="D3" s="285"/>
      <c r="E3" s="286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7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8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8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8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8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8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8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9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7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8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8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8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8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8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8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9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5" t="s">
        <v>352</v>
      </c>
      <c r="D1" s="295"/>
      <c r="E1" s="295"/>
      <c r="F1" s="295"/>
      <c r="G1" s="295" t="s">
        <v>353</v>
      </c>
      <c r="H1" s="295"/>
      <c r="I1" s="295"/>
      <c r="J1" s="295"/>
      <c r="K1" s="295" t="s">
        <v>354</v>
      </c>
      <c r="L1" s="295"/>
      <c r="M1" s="295" t="s">
        <v>355</v>
      </c>
      <c r="N1" s="295"/>
      <c r="O1" s="295" t="s">
        <v>356</v>
      </c>
      <c r="P1" s="295"/>
      <c r="Q1" s="295"/>
      <c r="R1" s="295" t="s">
        <v>356</v>
      </c>
      <c r="S1" s="295"/>
      <c r="T1" s="295"/>
      <c r="U1" s="295" t="s">
        <v>356</v>
      </c>
      <c r="V1" s="295"/>
      <c r="W1" s="295"/>
      <c r="X1" s="20" t="s">
        <v>357</v>
      </c>
      <c r="Y1" s="295" t="s">
        <v>358</v>
      </c>
      <c r="Z1" s="295"/>
      <c r="AA1" s="295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5" t="s">
        <v>360</v>
      </c>
      <c r="P2" s="295"/>
      <c r="Q2" s="295"/>
      <c r="R2" s="295" t="s">
        <v>363</v>
      </c>
      <c r="S2" s="295"/>
      <c r="T2" s="295"/>
      <c r="U2" s="295" t="s">
        <v>362</v>
      </c>
      <c r="V2" s="295"/>
      <c r="W2" s="295"/>
      <c r="X2" s="20" t="s">
        <v>112</v>
      </c>
      <c r="Y2" s="295" t="s">
        <v>364</v>
      </c>
      <c r="Z2" s="295"/>
      <c r="AA2" s="295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3" t="str">
        <f t="shared" si="1"/>
        <v>Installation Cost per kW</v>
      </c>
      <c r="D17" s="293"/>
      <c r="E17" s="293"/>
      <c r="F17" s="293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4" t="s">
        <v>414</v>
      </c>
      <c r="D42" s="294"/>
      <c r="E42" s="294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P13" sqref="P1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>
        <f>I25/J25</f>
        <v>297.38815164493155</v>
      </c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M25" sqref="M25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67" t="s">
        <v>82</v>
      </c>
      <c r="O9" s="93"/>
      <c r="P9" s="267" t="s">
        <v>461</v>
      </c>
      <c r="Q9" s="267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468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467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467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467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N20" s="159" t="s">
        <v>467</v>
      </c>
      <c r="P20" s="159" t="s">
        <v>451</v>
      </c>
      <c r="Q20" s="159" t="s">
        <v>465</v>
      </c>
      <c r="R20" s="97" t="s">
        <v>162</v>
      </c>
      <c r="S20" s="97" t="s">
        <v>154</v>
      </c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N21" s="159" t="s">
        <v>467</v>
      </c>
      <c r="P21" s="159" t="s">
        <v>452</v>
      </c>
      <c r="Q21" s="159" t="s">
        <v>466</v>
      </c>
      <c r="R21" s="97" t="s">
        <v>162</v>
      </c>
      <c r="S21" s="97" t="s">
        <v>154</v>
      </c>
    </row>
    <row r="22" spans="2:22" s="159" customFormat="1" x14ac:dyDescent="0.2">
      <c r="B22" s="97" t="str">
        <f>P22</f>
        <v>MANHEAT</v>
      </c>
      <c r="C22" s="160" t="str">
        <f>P10</f>
        <v>PHEAT</v>
      </c>
      <c r="D22" s="93"/>
      <c r="E22" s="161"/>
      <c r="F22" s="162"/>
      <c r="N22" s="159" t="s">
        <v>113</v>
      </c>
      <c r="P22" s="159" t="s">
        <v>461</v>
      </c>
      <c r="Q22" s="159" t="s">
        <v>469</v>
      </c>
      <c r="R22" s="97" t="s">
        <v>162</v>
      </c>
      <c r="S22" s="97" t="s">
        <v>154</v>
      </c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2025-11-08T10:41:15Z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