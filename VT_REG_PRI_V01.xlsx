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77" documentId="13_ncr:1_{9299545E-79C1-4FEF-903B-919E368A4C3A}" xr6:coauthVersionLast="47" xr6:coauthVersionMax="47" xr10:uidLastSave="{01EE40E2-033C-4CAA-B39F-D2DEE77EA626}"/>
  <bookViews>
    <workbookView xWindow="-110" yWindow="-110" windowWidth="19420" windowHeight="12420" firstSheet="4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C24" i="143"/>
  <c r="E20" i="143"/>
  <c r="M32" i="143"/>
  <c r="E21" i="143"/>
  <c r="M33" i="143"/>
  <c r="E22" i="143"/>
  <c r="M34" i="143"/>
  <c r="O33" i="143"/>
  <c r="O34" i="143"/>
  <c r="F25" i="143"/>
  <c r="F24" i="143"/>
  <c r="T28" i="143"/>
  <c r="T27" i="143"/>
  <c r="T26" i="143"/>
  <c r="B2" i="143"/>
  <c r="Y7" i="143"/>
  <c r="D28" i="143"/>
  <c r="D27" i="143"/>
  <c r="D26" i="143"/>
  <c r="E23" i="143"/>
  <c r="M35" i="143"/>
  <c r="M36" i="143"/>
  <c r="Q33" i="143"/>
  <c r="Q34" i="143"/>
  <c r="Q35" i="143"/>
  <c r="Q32" i="143"/>
  <c r="M41" i="143"/>
  <c r="Q36" i="143"/>
  <c r="M14" i="145"/>
  <c r="M13" i="145"/>
  <c r="M12" i="145"/>
  <c r="P53" i="133"/>
  <c r="P54" i="133"/>
  <c r="P55" i="133"/>
  <c r="P56" i="133"/>
  <c r="P57" i="133"/>
  <c r="P52" i="133"/>
  <c r="P33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5" i="143"/>
  <c r="O35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N32" i="143"/>
  <c r="N33" i="143"/>
  <c r="J18" i="133"/>
  <c r="N34" i="143"/>
  <c r="D22" i="143"/>
  <c r="B25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40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AA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<sst xmlns="http://schemas.openxmlformats.org/spreadsheetml/2006/main" count="913" uniqueCount="481">
  <si>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</si>
  <si>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</si>
  <si>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</si>
  <si>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</si>
  <si>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</si>
  <si>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</si>
  <si>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</si>
  <si>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</si>
  <si>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</si>
  <si>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</si>
  <si>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</si>
  <si>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</si>
  <si>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</si>
  <si>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</si>
  <si>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</si>
  <si>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</si>
  <si>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</si>
  <si>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</si>
  <si>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</si>
  <si>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</si>
  <si>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</si>
  <si>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</si>
  <si>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</si>
  <si>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</si>
  <si>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</si>
  <si>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</si>
  <si>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</si>
  <si>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</si>
  <si>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</si>
  <si>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</si>
  <si>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</si>
  <si>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</si>
  <si>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</si>
  <si>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</si>
  <si>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</si>
  <si>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</si>
  <si>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</si>
  <si>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</si>
  <si>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</si>
  <si>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</si>
  <si>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</si>
  <si>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</si>
  <si>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</si>
  <si>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</si>
  <si>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</si>
  <si>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</si>
  <si>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</si>
  <si>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</si>
  <si>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</si>
  <si>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</si>
  <si>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</si>
  <si>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</si>
  <si>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</si>
  <si>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</si>
  <si>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</si>
  <si>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</si>
  <si>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</si>
  <si>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</si>
  <si>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</si>
  <si>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</si>
  <si>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</si>
  <si>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</si>
  <si>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</si>
  <si>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</si>
  <si>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</si>
  <si>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</si>
  <si>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</si>
  <si>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</si>
  <si>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</si>
  <si>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</si>
  <si>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</si>
  <si>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</si>
  <si>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</si>
  <si>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</si>
  <si>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</si>
  <si>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</si>
  <si>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</si>
  <si>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</si>
  <si>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</si>
  <si>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</si>
  <si>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</si>
  <si>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</si>
  <si>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</si>
  <si>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</si>
  <si>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</si>
  <si>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</si>
  <si>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</si>
  <si>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</si>
  <si>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</si>
  <si>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</si>
  <si>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</si>
  <si>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</si>
  <si>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</si>
  <si>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</si>
  <si>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</si>
  <si>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</si>
  <si>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</si>
  <si>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</si>
  <si>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</si>
  <si>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</si>
  <si>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</si>
  <si>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</si>
  <si>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</si>
  <si>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</si>
  <si>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</si>
  <si>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</si>
  <si>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</si>
  <si>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</si>
  <si>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</si>
  <si>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</si>
  <si>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</si>
  <si>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</si>
  <si>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</si>
  <si>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</si>
  <si>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</si>
  <si>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</si>
  <si>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</si>
  <si>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</si>
  <si>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</si>
  <si>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</si>
  <si>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</si>
  <si>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</si>
  <si>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</si>
  <si>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</si>
  <si>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</si>
  <si>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</si>
  <si>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</si>
  <si>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</si>
  <si>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</si>
  <si>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</si>
  <si>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</si>
  <si>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</si>
  <si>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</si>
  <si>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</si>
  <si>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</si>
  <si>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</si>
  <si>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</si>
  <si>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</si>
  <si>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</si>
  <si>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</si>
  <si>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</si>
  <si>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</si>
  <si>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</si>
  <si>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</si>
  <si>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</si>
  <si>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</si>
  <si>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</si>
  <si>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</si>
  <si>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</si>
  <si>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</si>
  <si>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</si>
  <si>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</si>
  <si>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</si>
  <si>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</si>
  <si>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</si>
  <si>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</si>
  <si>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</si>
  <si>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</si>
  <si>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</si>
  <si>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</si>
  <si>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</si>
  <si>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</si>
  <si>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</si>
  <si>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</si>
  <si>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</si>
  <si>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</si>
  <si>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</si>
  <si>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</si>
  <si>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</si>
  <si>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</si>
  <si>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</si>
  <si>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</si>
  <si>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</si>
  <si>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</si>
  <si>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</si>
  <si>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</si>
  <si>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</si>
  <si>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</si>
  <si>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</si>
  <si>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</si>
  <si>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</si>
  <si>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</si>
  <si>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</si>
  <si>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</si>
  <si>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</si>
  <si>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</si>
  <si>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</si>
  <si>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</si>
  <si>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</si>
  <si>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</si>
  <si>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</si>
  <si>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</si>
  <si>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</si>
  <si>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</si>
  <si>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</si>
  <si>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</si>
  <si>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</si>
  <si>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</si>
  <si>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</si>
  <si>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</si>
  <si>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</si>
  <si>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</si>
  <si>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</si>
  <si>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</si>
  <si>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</si>
  <si>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</si>
  <si>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</si>
  <si>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</si>
  <si>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</si>
  <si>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</si>
  <si>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</si>
  <si>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</si>
  <si>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</si>
  <si>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</si>
  <si>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</si>
  <si>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</si>
  <si>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</si>
  <si>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</si>
  <si>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</si>
  <si>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</si>
  <si>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</si>
  <si>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</si>
  <si>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</si>
  <si>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</si>
  <si>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</si>
  <si>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</si>
  <si>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</si>
  <si>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</si>
  <si>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</si>
  <si>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</si>
  <si>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</si>
  <si>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</si>
  <si>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</si>
  <si>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</si>
  <si>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</si>
  <si>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</si>
  <si>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</si>
  <si>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</si>
  <si>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</si>
  <si>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</si>
  <si>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</si>
  <si>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</si>
  <si>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</si>
  <si>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</si>
  <si>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</si>
  <si>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</si>
  <si>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</si>
  <si>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</si>
  <si>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</si>
  <si>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</si>
  <si>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</si>
  <si>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</si>
  <si>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</si>
  <si>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</si>
  <si>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</si>
  <si>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</si>
  <si>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</si>
  <si>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</si>
  <si>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</si>
  <si>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</si>
  <si>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</si>
  <si>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</si>
  <si>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</si>
  <si>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</si>
  <si>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</si>
  <si>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</si>
  <si>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</si>
  <si>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</si>
  <si>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</si>
  <si>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</si>
  <si>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</si>
  <si>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</si>
  <si>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</si>
  <si>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</si>
  <si>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</si>
  <si>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</si>
  <si>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</si>
  <si>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</si>
  <si>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</si>
  <si>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</si>
  <si>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</si>
  <si>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</si>
  <si>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</si>
  <si>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</si>
  <si>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</si>
  <si>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</si>
  <si>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</si>
  <si>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</si>
  <si>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</si>
  <si>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</si>
  <si>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</si>
  <si>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</si>
  <si>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</si>
  <si>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</si>
  <si>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</si>
  <si>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</si>
  <si>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</si>
  <si>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</si>
  <si>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</si>
  <si>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</si>
  <si>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</si>
  <si>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</si>
  <si>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</si>
  <si>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</si>
  <si>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</si>
  <si>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</si>
  <si>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</si>
  <si>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</si>
  <si>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</si>
  <si>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</si>
  <si>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</si>
  <si>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</si>
  <si>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</si>
  <si>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</si>
  <si>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</si>
  <si>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</si>
  <si>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</si>
  <si>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</si>
  <si>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</si>
  <si>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</si>
  <si>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</si>
  <si>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</si>
  <si>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</si>
  <si>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</si>
  <si>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</si>
  <si>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</si>
  <si>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</si>
  <si>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</si>
  <si>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</si>
  <si>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</si>
  <si>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</si>
  <si>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</si>
  <si>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</si>
  <si>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</si>
  <si>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</si>
  <si>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</si>
  <si>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</si>
  <si>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</si>
  <si>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</si>
  <si>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</si>
  <si>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</si>
  <si>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</si>
  <si>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</si>
  <si>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</si>
  <si>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</si>
  <si>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</si>
  <si>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</si>
  <si>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</si>
  <si>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</si>
  <si>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</si>
  <si>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</si>
  <si>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</si>
  <si>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</si>
  <si>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</si>
  <si>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</si>
  <si>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</si>
  <si>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</si>
  <si>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</si>
  <si>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</si>
  <si>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</si>
  <si>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</si>
  <si>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</si>
  <si>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</si>
  <si>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</si>
  <si>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</si>
  <si>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</si>
  <si>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</si>
  <si>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</si>
  <si>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</si>
  <si>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</si>
  <si>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</si>
  <si>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</si>
  <si>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</si>
  <si>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</si>
  <si>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</si>
  <si>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</si>
  <si>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</si>
  <si>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</si>
  <si>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</si>
  <si>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</si>
  <si>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</si>
  <si>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</si>
  <si>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</si>
  <si>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</si>
  <si>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</si>
  <si>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</si>
  <si>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</si>
  <si>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</si>
  <si>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</si>
  <si>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</si>
  <si>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</si>
  <si>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</si>
  <si>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</si>
  <si>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</si>
  <si>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</si>
  <si>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</si>
  <si>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</si>
  <si>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</si>
  <si>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</si>
  <si>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</si>
  <si>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</si>
  <si>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</si>
  <si>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</si>
  <si>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</si>
  <si>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</si>
  <si>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</si>
  <si>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</si>
  <si>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</si>
  <si>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</si>
  <si>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</si>
  <si>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</si>
  <si>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</si>
  <si>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</si>
  <si>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</si>
  <si>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</si>
  <si>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</si>
  <si>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</si>
  <si>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</si>
  <si>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</si>
  <si>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</si>
  <si>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</si>
  <si>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</si>
  <si>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</si>
  <si>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</si>
  <si>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</si>
  <si>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</si>
  <si>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</si>
  <si>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</si>
  <si>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</si>
  <si>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</si>
  <si>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</si>
  <si>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</si>
  <si>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</si>
  <si>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</si>
  <si>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</si>
  <si>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</si>
  <si>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</si>
  <si>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</si>
  <si>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</si>
  <si>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</si>
  <si>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</si>
  <si>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</si>
  <si>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</si>
  <si>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</si>
  <si>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</si>
  <si>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</si>
  <si>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</si>
  <si>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</si>
  <si>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</si>
  <si>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</si>
  <si>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</si>
  <si>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</si>
  <si>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</si>
  <si>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</si>
  <si>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</si>
  <si>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</si>
  <si>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</si>
  <si>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</si>
  <si>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</si>
  <si>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</si>
  <si>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</si>
  <si>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</si>
  <si>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</si>
  <si>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</si>
  <si>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</si>
  <si>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</si>
  <si>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</si>
  <si>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</si>
  <si>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</si>
  <si>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</si>
  <si>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</si>
  <si>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</si>
  <si>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</si>
  <si>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</si>
  <si>
    <t>PELC</t>
  </si>
  <si>
    <r>
      <t>Share-I~UP</t>
    </r>
    <r>
      <rPr>
        <b/>
        <sz val="10"/>
        <color rgb="FFFF0000"/>
        <rFont val="Arial"/>
        <family val="2"/>
      </rPr>
      <t>~2025</t>
    </r>
  </si>
  <si>
    <r>
      <t>Share-I~UP</t>
    </r>
    <r>
      <rPr>
        <b/>
        <sz val="10"/>
        <color rgb="FFFF0000"/>
        <rFont val="Arial"/>
        <family val="2"/>
      </rPr>
      <t>~2030</t>
    </r>
  </si>
  <si>
    <r>
      <t>Share-I~UP</t>
    </r>
    <r>
      <rPr>
        <b/>
        <sz val="10"/>
        <color rgb="FFFF0000"/>
        <rFont val="Arial"/>
        <family val="2"/>
      </rPr>
      <t>~2035</t>
    </r>
    <r>
      <rPr>
        <sz val="11"/>
        <color theme="1"/>
        <rFont val="Calibri"/>
        <family val="2"/>
        <scheme val="minor"/>
      </rPr>
      <t/>
    </r>
  </si>
  <si>
    <r>
      <t>Share-I~UP</t>
    </r>
    <r>
      <rPr>
        <b/>
        <sz val="10"/>
        <color rgb="FFFF0000"/>
        <rFont val="Arial"/>
        <family val="2"/>
      </rPr>
      <t>~2040</t>
    </r>
    <r>
      <rPr>
        <sz val="11"/>
        <color theme="1"/>
        <rFont val="Calibri"/>
        <family val="2"/>
        <scheme val="minor"/>
      </rPr>
      <t/>
    </r>
  </si>
  <si>
    <r>
      <t>Share-I~UP</t>
    </r>
    <r>
      <rPr>
        <b/>
        <sz val="10"/>
        <color rgb="FFFF0000"/>
        <rFont val="Arial"/>
        <family val="2"/>
      </rPr>
      <t>~2045</t>
    </r>
    <r>
      <rPr>
        <sz val="11"/>
        <color theme="1"/>
        <rFont val="Calibri"/>
        <family val="2"/>
        <scheme val="minor"/>
      </rPr>
      <t/>
    </r>
  </si>
  <si>
    <r>
      <t>Share-I~UP</t>
    </r>
    <r>
      <rPr>
        <b/>
        <sz val="10"/>
        <color rgb="FFFF0000"/>
        <rFont val="Arial"/>
        <family val="2"/>
      </rPr>
      <t>~2050</t>
    </r>
    <r>
      <rPr>
        <sz val="11"/>
        <color theme="1"/>
        <rFont val="Calibri"/>
        <family val="2"/>
        <scheme val="minor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</si>
</sst>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9" fillId="6" borderId="10" applyNumberFormat="0" applyAlignment="0" applyProtection="0"/>
    <xf numFmtId="164" fontId="17" fillId="0" borderId="0" applyFont="0" applyFill="0" applyBorder="0" applyAlignment="0" applyProtection="0"/>
    <xf numFmtId="0" fontId="20" fillId="7" borderId="0" applyNumberFormat="0" applyBorder="0" applyAlignment="0" applyProtection="0"/>
    <xf numFmtId="0" fontId="21" fillId="8" borderId="10" applyNumberFormat="0" applyAlignment="0" applyProtection="0"/>
    <xf numFmtId="0" fontId="22" fillId="9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7" fillId="0" borderId="0"/>
    <xf numFmtId="0" fontId="10" fillId="0" borderId="0"/>
    <xf numFmtId="0" fontId="8" fillId="0" borderId="0"/>
    <xf numFmtId="9" fontId="7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0" fillId="0" borderId="0"/>
    <xf numFmtId="0" fontId="6" fillId="3" borderId="0" applyNumberFormat="0" applyBorder="0" applyAlignment="0" applyProtection="0"/>
    <xf numFmtId="9" fontId="7" fillId="0" borderId="0" applyFont="0" applyFill="0" applyBorder="0" applyAlignment="0" applyProtection="0"/>
    <xf numFmtId="0" fontId="5" fillId="3" borderId="0" applyNumberFormat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3" borderId="0" applyNumberFormat="0" applyBorder="0" applyAlignment="0" applyProtection="0"/>
    <xf numFmtId="164" fontId="4" fillId="0" borderId="0" applyFont="0" applyFill="0" applyBorder="0" applyAlignment="0" applyProtection="0"/>
    <xf numFmtId="0" fontId="4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0" borderId="0"/>
    <xf numFmtId="0" fontId="36" fillId="9" borderId="0" applyNumberFormat="0" applyBorder="0" applyAlignment="0" applyProtection="0"/>
    <xf numFmtId="9" fontId="2" fillId="0" borderId="0" applyFont="0" applyFill="0" applyBorder="0" applyAlignment="0" applyProtection="0"/>
    <xf numFmtId="0" fontId="18" fillId="30" borderId="0" applyNumberFormat="0" applyBorder="0" applyAlignment="0" applyProtection="0"/>
  </cellStyleXfs>
  <cellXfs count="328">
    <xf numFmtId="0" fontId="0" fillId="0" borderId="0" xfId="0"/>
    <xf numFmtId="0" fontId="10" fillId="0" borderId="0" xfId="0" applyFont="1"/>
    <xf numFmtId="0" fontId="9" fillId="2" borderId="1" xfId="0" applyFont="1" applyFill="1" applyBorder="1" applyAlignment="1">
      <alignment horizontal="left"/>
    </xf>
    <xf numFmtId="0" fontId="11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8" fillId="5" borderId="0" xfId="3"/>
    <xf numFmtId="0" fontId="23" fillId="10" borderId="0" xfId="6" applyFont="1" applyFill="1"/>
    <xf numFmtId="0" fontId="24" fillId="3" borderId="3" xfId="1" applyFont="1" applyBorder="1" applyAlignment="1">
      <alignment horizontal="center" wrapText="1"/>
    </xf>
    <xf numFmtId="0" fontId="24" fillId="3" borderId="3" xfId="1" applyFont="1" applyBorder="1" applyAlignment="1">
      <alignment horizontal="left" wrapText="1"/>
    </xf>
    <xf numFmtId="0" fontId="9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5" fillId="0" borderId="0" xfId="0" applyFont="1"/>
    <xf numFmtId="0" fontId="10" fillId="0" borderId="5" xfId="0" applyFont="1" applyBorder="1"/>
    <xf numFmtId="0" fontId="10" fillId="0" borderId="6" xfId="0" applyFont="1" applyBorder="1"/>
    <xf numFmtId="9" fontId="26" fillId="0" borderId="6" xfId="16" applyFont="1" applyBorder="1" applyAlignment="1"/>
    <xf numFmtId="0" fontId="10" fillId="0" borderId="7" xfId="0" applyFont="1" applyBorder="1"/>
    <xf numFmtId="9" fontId="26" fillId="0" borderId="7" xfId="16" applyFont="1" applyBorder="1" applyAlignment="1"/>
    <xf numFmtId="9" fontId="26" fillId="0" borderId="0" xfId="16" applyFont="1" applyBorder="1" applyAlignment="1"/>
    <xf numFmtId="0" fontId="18" fillId="5" borderId="0" xfId="3" applyAlignment="1">
      <alignment wrapText="1"/>
    </xf>
    <xf numFmtId="0" fontId="9" fillId="0" borderId="0" xfId="0" applyFont="1"/>
    <xf numFmtId="1" fontId="10" fillId="0" borderId="0" xfId="9" applyNumberFormat="1"/>
    <xf numFmtId="0" fontId="9" fillId="0" borderId="2" xfId="0" applyFont="1" applyBorder="1" applyAlignment="1">
      <alignment horizontal="center" wrapText="1"/>
    </xf>
    <xf numFmtId="0" fontId="27" fillId="0" borderId="0" xfId="0" applyFont="1"/>
    <xf numFmtId="0" fontId="23" fillId="10" borderId="0" xfId="6" applyFont="1" applyFill="1" applyAlignment="1">
      <alignment horizontal="left"/>
    </xf>
    <xf numFmtId="1" fontId="0" fillId="11" borderId="0" xfId="0" applyNumberFormat="1" applyFill="1"/>
    <xf numFmtId="1" fontId="9" fillId="11" borderId="0" xfId="0" applyNumberFormat="1" applyFont="1" applyFill="1"/>
    <xf numFmtId="0" fontId="27" fillId="12" borderId="2" xfId="0" applyFont="1" applyFill="1" applyBorder="1" applyAlignment="1">
      <alignment wrapText="1"/>
    </xf>
    <xf numFmtId="0" fontId="9" fillId="12" borderId="2" xfId="0" applyFont="1" applyFill="1" applyBorder="1" applyAlignment="1">
      <alignment wrapText="1"/>
    </xf>
    <xf numFmtId="0" fontId="27" fillId="12" borderId="0" xfId="0" applyFont="1" applyFill="1"/>
    <xf numFmtId="1" fontId="0" fillId="13" borderId="0" xfId="0" applyNumberFormat="1" applyFill="1"/>
    <xf numFmtId="1" fontId="9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9" fillId="14" borderId="0" xfId="0" applyNumberFormat="1" applyFont="1" applyFill="1"/>
    <xf numFmtId="1" fontId="21" fillId="8" borderId="0" xfId="7" applyNumberFormat="1" applyBorder="1" applyAlignment="1"/>
    <xf numFmtId="1" fontId="19" fillId="6" borderId="4" xfId="4" applyNumberFormat="1" applyBorder="1" applyAlignment="1">
      <alignment horizontal="right"/>
    </xf>
    <xf numFmtId="1" fontId="21" fillId="8" borderId="4" xfId="7" applyNumberFormat="1" applyBorder="1" applyAlignment="1"/>
    <xf numFmtId="165" fontId="19" fillId="6" borderId="5" xfId="4" applyNumberFormat="1" applyBorder="1" applyAlignment="1">
      <alignment horizontal="right" vertical="center"/>
    </xf>
    <xf numFmtId="0" fontId="9" fillId="0" borderId="2" xfId="0" applyFont="1" applyBorder="1"/>
    <xf numFmtId="1" fontId="19" fillId="6" borderId="11" xfId="4" applyNumberFormat="1" applyBorder="1" applyAlignment="1">
      <alignment horizontal="right"/>
    </xf>
    <xf numFmtId="1" fontId="19" fillId="6" borderId="12" xfId="4" applyNumberFormat="1" applyBorder="1" applyAlignment="1">
      <alignment horizontal="right"/>
    </xf>
    <xf numFmtId="165" fontId="15" fillId="13" borderId="6" xfId="0" applyNumberFormat="1" applyFont="1" applyFill="1" applyBorder="1" applyAlignment="1">
      <alignment horizontal="left" vertical="center"/>
    </xf>
    <xf numFmtId="165" fontId="15" fillId="13" borderId="8" xfId="0" applyNumberFormat="1" applyFont="1" applyFill="1" applyBorder="1" applyAlignment="1">
      <alignment horizontal="left" vertical="center"/>
    </xf>
    <xf numFmtId="165" fontId="15" fillId="14" borderId="6" xfId="0" applyNumberFormat="1" applyFont="1" applyFill="1" applyBorder="1" applyAlignment="1">
      <alignment horizontal="left" vertical="center"/>
    </xf>
    <xf numFmtId="165" fontId="15" fillId="14" borderId="8" xfId="0" applyNumberFormat="1" applyFont="1" applyFill="1" applyBorder="1" applyAlignment="1">
      <alignment horizontal="left" vertical="center"/>
    </xf>
    <xf numFmtId="165" fontId="15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10" fillId="13" borderId="0" xfId="8" applyFont="1" applyFill="1"/>
    <xf numFmtId="2" fontId="10" fillId="13" borderId="0" xfId="0" applyNumberFormat="1" applyFont="1" applyFill="1"/>
    <xf numFmtId="0" fontId="28" fillId="0" borderId="0" xfId="0" applyFont="1"/>
    <xf numFmtId="0" fontId="9" fillId="16" borderId="0" xfId="0" applyFont="1" applyFill="1"/>
    <xf numFmtId="0" fontId="23" fillId="10" borderId="0" xfId="6" applyFont="1" applyFill="1" applyAlignment="1">
      <alignment wrapText="1"/>
    </xf>
    <xf numFmtId="0" fontId="23" fillId="0" borderId="0" xfId="6" applyFont="1" applyFill="1"/>
    <xf numFmtId="0" fontId="9" fillId="2" borderId="1" xfId="11" applyFont="1" applyFill="1" applyBorder="1" applyAlignment="1">
      <alignment horizontal="left" vertical="center"/>
    </xf>
    <xf numFmtId="0" fontId="18" fillId="4" borderId="0" xfId="2"/>
    <xf numFmtId="0" fontId="0" fillId="0" borderId="4" xfId="0" applyBorder="1"/>
    <xf numFmtId="1" fontId="21" fillId="8" borderId="1" xfId="7" applyNumberFormat="1" applyBorder="1" applyAlignment="1"/>
    <xf numFmtId="1" fontId="19" fillId="6" borderId="13" xfId="4" applyNumberFormat="1" applyBorder="1" applyAlignment="1">
      <alignment horizontal="right"/>
    </xf>
    <xf numFmtId="165" fontId="14" fillId="0" borderId="5" xfId="0" applyNumberFormat="1" applyFont="1" applyBorder="1" applyAlignment="1">
      <alignment horizontal="left" vertical="center"/>
    </xf>
    <xf numFmtId="165" fontId="15" fillId="11" borderId="8" xfId="0" applyNumberFormat="1" applyFont="1" applyFill="1" applyBorder="1" applyAlignment="1">
      <alignment horizontal="left" vertical="center"/>
    </xf>
    <xf numFmtId="165" fontId="14" fillId="0" borderId="7" xfId="0" applyNumberFormat="1" applyFont="1" applyBorder="1" applyAlignment="1">
      <alignment horizontal="left" vertical="center"/>
    </xf>
    <xf numFmtId="0" fontId="10" fillId="0" borderId="0" xfId="8" applyFont="1" applyFill="1"/>
    <xf numFmtId="2" fontId="10" fillId="0" borderId="0" xfId="0" applyNumberFormat="1" applyFont="1"/>
    <xf numFmtId="0" fontId="9" fillId="2" borderId="1" xfId="0" applyFont="1" applyFill="1" applyBorder="1" applyAlignment="1">
      <alignment horizontal="center"/>
    </xf>
    <xf numFmtId="166" fontId="11" fillId="0" borderId="0" xfId="0" applyNumberFormat="1" applyFont="1"/>
    <xf numFmtId="166" fontId="10" fillId="0" borderId="0" xfId="0" applyNumberFormat="1" applyFont="1"/>
    <xf numFmtId="166" fontId="9" fillId="2" borderId="1" xfId="0" applyNumberFormat="1" applyFont="1" applyFill="1" applyBorder="1" applyAlignment="1">
      <alignment horizontal="left"/>
    </xf>
    <xf numFmtId="166" fontId="9" fillId="2" borderId="4" xfId="0" applyNumberFormat="1" applyFont="1" applyFill="1" applyBorder="1" applyAlignment="1">
      <alignment horizontal="left"/>
    </xf>
    <xf numFmtId="166" fontId="24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4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9" fillId="6" borderId="2" xfId="4" applyNumberFormat="1" applyBorder="1" applyAlignment="1">
      <alignment horizontal="right"/>
    </xf>
    <xf numFmtId="1" fontId="19" fillId="6" borderId="14" xfId="4" applyNumberFormat="1" applyBorder="1" applyAlignment="1">
      <alignment horizontal="right"/>
    </xf>
    <xf numFmtId="165" fontId="15" fillId="14" borderId="1" xfId="0" applyNumberFormat="1" applyFont="1" applyFill="1" applyBorder="1" applyAlignment="1">
      <alignment horizontal="left" vertical="center"/>
    </xf>
    <xf numFmtId="165" fontId="15" fillId="14" borderId="2" xfId="0" applyNumberFormat="1" applyFont="1" applyFill="1" applyBorder="1" applyAlignment="1">
      <alignment horizontal="left" vertical="center"/>
    </xf>
    <xf numFmtId="0" fontId="9" fillId="2" borderId="0" xfId="0" applyFont="1" applyFill="1" applyAlignment="1">
      <alignment horizontal="center"/>
    </xf>
    <xf numFmtId="0" fontId="23" fillId="17" borderId="0" xfId="6" applyFont="1" applyFill="1"/>
    <xf numFmtId="0" fontId="27" fillId="12" borderId="15" xfId="0" applyFont="1" applyFill="1" applyBorder="1" applyAlignment="1">
      <alignment wrapText="1"/>
    </xf>
    <xf numFmtId="0" fontId="27" fillId="12" borderId="5" xfId="0" applyFont="1" applyFill="1" applyBorder="1" applyAlignment="1">
      <alignment wrapText="1"/>
    </xf>
    <xf numFmtId="0" fontId="27" fillId="12" borderId="16" xfId="0" applyFont="1" applyFill="1" applyBorder="1" applyAlignment="1">
      <alignment wrapText="1"/>
    </xf>
    <xf numFmtId="0" fontId="9" fillId="12" borderId="17" xfId="0" applyFont="1" applyFill="1" applyBorder="1" applyAlignment="1">
      <alignment wrapText="1"/>
    </xf>
    <xf numFmtId="0" fontId="9" fillId="12" borderId="6" xfId="0" applyFont="1" applyFill="1" applyBorder="1" applyAlignment="1">
      <alignment wrapText="1"/>
    </xf>
    <xf numFmtId="165" fontId="15" fillId="14" borderId="15" xfId="0" applyNumberFormat="1" applyFont="1" applyFill="1" applyBorder="1" applyAlignment="1">
      <alignment horizontal="center" vertical="center"/>
    </xf>
    <xf numFmtId="165" fontId="15" fillId="14" borderId="5" xfId="0" applyNumberFormat="1" applyFont="1" applyFill="1" applyBorder="1" applyAlignment="1">
      <alignment horizontal="center" vertical="center"/>
    </xf>
    <xf numFmtId="165" fontId="15" fillId="14" borderId="16" xfId="0" applyNumberFormat="1" applyFont="1" applyFill="1" applyBorder="1" applyAlignment="1">
      <alignment horizontal="center" vertical="center"/>
    </xf>
    <xf numFmtId="0" fontId="9" fillId="12" borderId="0" xfId="0" applyFont="1" applyFill="1" applyAlignment="1">
      <alignment wrapText="1"/>
    </xf>
    <xf numFmtId="1" fontId="26" fillId="15" borderId="0" xfId="0" applyNumberFormat="1" applyFont="1" applyFill="1"/>
    <xf numFmtId="0" fontId="10" fillId="0" borderId="0" xfId="9"/>
    <xf numFmtId="166" fontId="11" fillId="0" borderId="0" xfId="9" applyNumberFormat="1" applyFont="1"/>
    <xf numFmtId="166" fontId="10" fillId="0" borderId="0" xfId="9" applyNumberFormat="1"/>
    <xf numFmtId="166" fontId="9" fillId="2" borderId="1" xfId="9" applyNumberFormat="1" applyFont="1" applyFill="1" applyBorder="1" applyAlignment="1">
      <alignment horizontal="left"/>
    </xf>
    <xf numFmtId="166" fontId="9" fillId="2" borderId="4" xfId="9" applyNumberFormat="1" applyFont="1" applyFill="1" applyBorder="1" applyAlignment="1">
      <alignment horizontal="left"/>
    </xf>
    <xf numFmtId="166" fontId="24" fillId="3" borderId="3" xfId="23" applyNumberFormat="1" applyFont="1" applyBorder="1" applyAlignment="1">
      <alignment horizontal="left" wrapText="1"/>
    </xf>
    <xf numFmtId="0" fontId="26" fillId="0" borderId="0" xfId="9" applyFont="1"/>
    <xf numFmtId="0" fontId="9" fillId="2" borderId="1" xfId="11" applyFont="1" applyFill="1" applyBorder="1" applyAlignment="1">
      <alignment horizontal="center" vertical="center" wrapText="1"/>
    </xf>
    <xf numFmtId="0" fontId="9" fillId="2" borderId="1" xfId="12" applyFont="1" applyFill="1" applyBorder="1" applyAlignment="1">
      <alignment horizontal="center" vertical="center" wrapText="1"/>
    </xf>
    <xf numFmtId="0" fontId="24" fillId="3" borderId="1" xfId="23" applyFont="1" applyBorder="1" applyAlignment="1">
      <alignment horizontal="left" wrapText="1"/>
    </xf>
    <xf numFmtId="0" fontId="24" fillId="3" borderId="4" xfId="23" applyFont="1" applyBorder="1" applyAlignment="1">
      <alignment horizontal="left" wrapText="1"/>
    </xf>
    <xf numFmtId="0" fontId="24" fillId="3" borderId="3" xfId="23" applyFont="1" applyBorder="1" applyAlignment="1">
      <alignment horizontal="left" wrapText="1"/>
    </xf>
    <xf numFmtId="0" fontId="24" fillId="3" borderId="3" xfId="23" applyFont="1" applyBorder="1" applyAlignment="1">
      <alignment horizontal="center" wrapText="1"/>
    </xf>
    <xf numFmtId="0" fontId="24" fillId="3" borderId="9" xfId="23" applyFont="1" applyBorder="1" applyAlignment="1">
      <alignment horizontal="center" wrapText="1"/>
    </xf>
    <xf numFmtId="9" fontId="10" fillId="15" borderId="0" xfId="24" applyFont="1" applyFill="1"/>
    <xf numFmtId="2" fontId="10" fillId="13" borderId="0" xfId="9" applyNumberFormat="1" applyFill="1"/>
    <xf numFmtId="0" fontId="10" fillId="13" borderId="0" xfId="9" applyFill="1"/>
    <xf numFmtId="2" fontId="10" fillId="0" borderId="0" xfId="9" applyNumberFormat="1"/>
    <xf numFmtId="9" fontId="10" fillId="0" borderId="0" xfId="9" applyNumberFormat="1"/>
    <xf numFmtId="9" fontId="0" fillId="0" borderId="0" xfId="24" applyFont="1"/>
    <xf numFmtId="0" fontId="10" fillId="15" borderId="0" xfId="9" applyFill="1"/>
    <xf numFmtId="9" fontId="0" fillId="0" borderId="0" xfId="16" applyFont="1"/>
    <xf numFmtId="0" fontId="10" fillId="17" borderId="0" xfId="9" applyFill="1"/>
    <xf numFmtId="166" fontId="10" fillId="17" borderId="0" xfId="9" applyNumberFormat="1" applyFill="1"/>
    <xf numFmtId="9" fontId="0" fillId="0" borderId="0" xfId="0" applyNumberFormat="1"/>
    <xf numFmtId="2" fontId="10" fillId="15" borderId="0" xfId="0" applyNumberFormat="1" applyFont="1" applyFill="1"/>
    <xf numFmtId="0" fontId="9" fillId="2" borderId="1" xfId="0" applyFont="1" applyFill="1" applyBorder="1" applyAlignment="1">
      <alignment vertical="center"/>
    </xf>
    <xf numFmtId="0" fontId="11" fillId="0" borderId="0" xfId="0" applyFont="1"/>
    <xf numFmtId="0" fontId="24" fillId="3" borderId="3" xfId="31" applyFont="1" applyBorder="1" applyAlignment="1">
      <alignment horizontal="left" wrapText="1"/>
    </xf>
    <xf numFmtId="0" fontId="24" fillId="3" borderId="1" xfId="31" applyFont="1" applyBorder="1" applyAlignment="1">
      <alignment horizontal="left" wrapText="1"/>
    </xf>
    <xf numFmtId="0" fontId="10" fillId="0" borderId="18" xfId="0" applyFont="1" applyBorder="1"/>
    <xf numFmtId="0" fontId="0" fillId="13" borderId="0" xfId="0" applyFill="1"/>
    <xf numFmtId="1" fontId="10" fillId="15" borderId="0" xfId="8" applyNumberFormat="1" applyFont="1" applyFill="1"/>
    <xf numFmtId="0" fontId="9" fillId="0" borderId="0" xfId="0" applyFont="1" applyAlignment="1">
      <alignment vertical="center"/>
    </xf>
    <xf numFmtId="0" fontId="24" fillId="0" borderId="0" xfId="31" applyFont="1" applyFill="1" applyBorder="1" applyAlignment="1">
      <alignment horizontal="left" wrapText="1"/>
    </xf>
    <xf numFmtId="1" fontId="21" fillId="8" borderId="10" xfId="7" applyNumberFormat="1"/>
    <xf numFmtId="0" fontId="24" fillId="3" borderId="1" xfId="1" applyFont="1" applyBorder="1" applyAlignment="1">
      <alignment horizontal="left" wrapText="1"/>
    </xf>
    <xf numFmtId="2" fontId="0" fillId="15" borderId="0" xfId="0" applyNumberFormat="1" applyFill="1"/>
    <xf numFmtId="0" fontId="10" fillId="0" borderId="2" xfId="9" applyBorder="1"/>
    <xf numFmtId="2" fontId="0" fillId="15" borderId="2" xfId="0" applyNumberFormat="1" applyFill="1" applyBorder="1"/>
    <xf numFmtId="0" fontId="26" fillId="13" borderId="0" xfId="9" applyFont="1" applyFill="1"/>
    <xf numFmtId="0" fontId="30" fillId="18" borderId="0" xfId="0" quotePrefix="1" applyFont="1" applyFill="1"/>
    <xf numFmtId="0" fontId="30" fillId="0" borderId="0" xfId="0" quotePrefix="1" applyFont="1"/>
    <xf numFmtId="0" fontId="11" fillId="0" borderId="0" xfId="0" applyFont="1" applyAlignment="1">
      <alignment horizontal="left"/>
    </xf>
    <xf numFmtId="0" fontId="30" fillId="0" borderId="0" xfId="0" applyFont="1"/>
    <xf numFmtId="0" fontId="9" fillId="2" borderId="3" xfId="11" applyFont="1" applyFill="1" applyBorder="1" applyAlignment="1">
      <alignment horizontal="left" vertical="center"/>
    </xf>
    <xf numFmtId="0" fontId="24" fillId="3" borderId="3" xfId="33" applyFont="1" applyBorder="1" applyAlignment="1">
      <alignment horizontal="left" wrapText="1"/>
    </xf>
    <xf numFmtId="0" fontId="9" fillId="0" borderId="0" xfId="11" applyFont="1" applyAlignment="1">
      <alignment horizontal="left" vertical="center"/>
    </xf>
    <xf numFmtId="2" fontId="0" fillId="13" borderId="0" xfId="0" applyNumberFormat="1" applyFill="1"/>
    <xf numFmtId="0" fontId="7" fillId="0" borderId="18" xfId="0" applyFont="1" applyBorder="1"/>
    <xf numFmtId="0" fontId="27" fillId="19" borderId="0" xfId="0" applyFont="1" applyFill="1"/>
    <xf numFmtId="165" fontId="15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9" fillId="19" borderId="0" xfId="0" applyNumberFormat="1" applyFont="1" applyFill="1"/>
    <xf numFmtId="0" fontId="0" fillId="19" borderId="0" xfId="0" applyFill="1"/>
    <xf numFmtId="0" fontId="9" fillId="2" borderId="0" xfId="0" applyFont="1" applyFill="1" applyAlignment="1">
      <alignment vertical="center"/>
    </xf>
    <xf numFmtId="0" fontId="24" fillId="3" borderId="0" xfId="31" applyFont="1" applyBorder="1" applyAlignment="1">
      <alignment horizontal="left" wrapText="1"/>
    </xf>
    <xf numFmtId="0" fontId="29" fillId="0" borderId="0" xfId="0" applyFont="1"/>
    <xf numFmtId="0" fontId="29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7" fillId="0" borderId="0" xfId="0" applyNumberFormat="1" applyFont="1"/>
    <xf numFmtId="0" fontId="7" fillId="0" borderId="0" xfId="0" applyFont="1"/>
    <xf numFmtId="0" fontId="26" fillId="0" borderId="0" xfId="0" applyFont="1"/>
    <xf numFmtId="166" fontId="26" fillId="0" borderId="0" xfId="0" applyNumberFormat="1" applyFont="1"/>
    <xf numFmtId="166" fontId="26" fillId="0" borderId="0" xfId="0" applyNumberFormat="1" applyFont="1" applyAlignment="1">
      <alignment wrapText="1"/>
    </xf>
    <xf numFmtId="0" fontId="26" fillId="17" borderId="0" xfId="9" applyFont="1" applyFill="1"/>
    <xf numFmtId="166" fontId="26" fillId="0" borderId="0" xfId="9" applyNumberFormat="1" applyFont="1"/>
    <xf numFmtId="2" fontId="26" fillId="0" borderId="0" xfId="9" applyNumberFormat="1" applyFont="1"/>
    <xf numFmtId="9" fontId="26" fillId="17" borderId="0" xfId="24" applyFont="1" applyFill="1"/>
    <xf numFmtId="0" fontId="7" fillId="0" borderId="0" xfId="9" applyFont="1"/>
    <xf numFmtId="0" fontId="31" fillId="0" borderId="0" xfId="0" applyFont="1"/>
    <xf numFmtId="166" fontId="31" fillId="0" borderId="0" xfId="0" applyNumberFormat="1" applyFont="1"/>
    <xf numFmtId="166" fontId="7" fillId="0" borderId="0" xfId="0" applyNumberFormat="1" applyFont="1" applyAlignment="1">
      <alignment wrapText="1"/>
    </xf>
    <xf numFmtId="166" fontId="31" fillId="0" borderId="0" xfId="0" applyNumberFormat="1" applyFont="1" applyAlignment="1">
      <alignment wrapText="1"/>
    </xf>
    <xf numFmtId="166" fontId="32" fillId="0" borderId="0" xfId="0" applyNumberFormat="1" applyFont="1"/>
    <xf numFmtId="0" fontId="9" fillId="17" borderId="0" xfId="0" applyFont="1" applyFill="1"/>
    <xf numFmtId="0" fontId="25" fillId="17" borderId="0" xfId="0" applyFont="1" applyFill="1"/>
    <xf numFmtId="0" fontId="34" fillId="0" borderId="0" xfId="40" applyFont="1"/>
    <xf numFmtId="0" fontId="2" fillId="0" borderId="0" xfId="40"/>
    <xf numFmtId="0" fontId="2" fillId="24" borderId="0" xfId="38"/>
    <xf numFmtId="0" fontId="36" fillId="9" borderId="0" xfId="41"/>
    <xf numFmtId="0" fontId="2" fillId="20" borderId="0" xfId="34"/>
    <xf numFmtId="0" fontId="37" fillId="0" borderId="0" xfId="40" applyFont="1" applyAlignment="1">
      <alignment vertical="center"/>
    </xf>
    <xf numFmtId="0" fontId="39" fillId="0" borderId="22" xfId="40" applyFont="1" applyBorder="1" applyAlignment="1">
      <alignment vertical="center"/>
    </xf>
    <xf numFmtId="0" fontId="39" fillId="0" borderId="23" xfId="40" applyFont="1" applyBorder="1" applyAlignment="1">
      <alignment horizontal="justify" vertical="center" wrapText="1"/>
    </xf>
    <xf numFmtId="0" fontId="2" fillId="24" borderId="23" xfId="38" applyBorder="1" applyAlignment="1">
      <alignment horizontal="justify" vertical="center" wrapText="1"/>
    </xf>
    <xf numFmtId="0" fontId="36" fillId="9" borderId="23" xfId="41" applyBorder="1" applyAlignment="1">
      <alignment horizontal="justify" vertical="center" wrapText="1"/>
    </xf>
    <xf numFmtId="0" fontId="2" fillId="20" borderId="23" xfId="34" applyBorder="1" applyAlignment="1">
      <alignment horizontal="justify" vertical="center" wrapText="1"/>
    </xf>
    <xf numFmtId="0" fontId="39" fillId="0" borderId="24" xfId="40" applyFont="1" applyBorder="1" applyAlignment="1">
      <alignment vertical="center"/>
    </xf>
    <xf numFmtId="0" fontId="39" fillId="0" borderId="23" xfId="40" applyFont="1" applyBorder="1" applyAlignment="1">
      <alignment horizontal="right" vertical="center"/>
    </xf>
    <xf numFmtId="0" fontId="41" fillId="0" borderId="23" xfId="40" applyFont="1" applyBorder="1" applyAlignment="1">
      <alignment horizontal="right" vertical="center"/>
    </xf>
    <xf numFmtId="0" fontId="39" fillId="0" borderId="26" xfId="40" applyFont="1" applyBorder="1" applyAlignment="1">
      <alignment horizontal="justify" vertical="center" wrapText="1"/>
    </xf>
    <xf numFmtId="0" fontId="39" fillId="0" borderId="23" xfId="40" applyFont="1" applyBorder="1" applyAlignment="1">
      <alignment vertical="center" wrapText="1"/>
    </xf>
    <xf numFmtId="0" fontId="2" fillId="24" borderId="23" xfId="38" applyBorder="1" applyAlignment="1">
      <alignment vertical="center" wrapText="1"/>
    </xf>
    <xf numFmtId="0" fontId="36" fillId="9" borderId="23" xfId="41" applyBorder="1" applyAlignment="1">
      <alignment vertical="center" wrapText="1"/>
    </xf>
    <xf numFmtId="0" fontId="2" fillId="20" borderId="23" xfId="34" applyBorder="1" applyAlignment="1">
      <alignment vertical="center" wrapText="1"/>
    </xf>
    <xf numFmtId="0" fontId="39" fillId="0" borderId="23" xfId="40" applyFont="1" applyBorder="1" applyAlignment="1">
      <alignment vertical="center"/>
    </xf>
    <xf numFmtId="0" fontId="2" fillId="24" borderId="23" xfId="38" applyBorder="1" applyAlignment="1">
      <alignment vertical="center"/>
    </xf>
    <xf numFmtId="0" fontId="36" fillId="9" borderId="23" xfId="41" applyBorder="1" applyAlignment="1">
      <alignment vertical="center"/>
    </xf>
    <xf numFmtId="0" fontId="2" fillId="20" borderId="23" xfId="34" applyBorder="1" applyAlignment="1">
      <alignment vertical="center"/>
    </xf>
    <xf numFmtId="0" fontId="20" fillId="7" borderId="0" xfId="6"/>
    <xf numFmtId="167" fontId="18" fillId="5" borderId="0" xfId="3" applyNumberFormat="1"/>
    <xf numFmtId="0" fontId="18" fillId="25" borderId="0" xfId="39"/>
    <xf numFmtId="167" fontId="18" fillId="25" borderId="0" xfId="39" applyNumberFormat="1"/>
    <xf numFmtId="0" fontId="2" fillId="21" borderId="0" xfId="35"/>
    <xf numFmtId="9" fontId="2" fillId="21" borderId="0" xfId="35" applyNumberFormat="1"/>
    <xf numFmtId="9" fontId="0" fillId="0" borderId="0" xfId="42" applyFont="1"/>
    <xf numFmtId="9" fontId="2" fillId="24" borderId="0" xfId="38" applyNumberFormat="1"/>
    <xf numFmtId="0" fontId="2" fillId="26" borderId="0" xfId="40" applyFill="1"/>
    <xf numFmtId="9" fontId="0" fillId="26" borderId="0" xfId="42" applyFont="1" applyFill="1"/>
    <xf numFmtId="0" fontId="42" fillId="0" borderId="0" xfId="40" applyFont="1"/>
    <xf numFmtId="0" fontId="42" fillId="26" borderId="0" xfId="40" applyFont="1" applyFill="1"/>
    <xf numFmtId="2" fontId="42" fillId="26" borderId="0" xfId="42" applyNumberFormat="1" applyFont="1" applyFill="1"/>
    <xf numFmtId="9" fontId="36" fillId="9" borderId="0" xfId="41" applyNumberFormat="1"/>
    <xf numFmtId="9" fontId="42" fillId="0" borderId="0" xfId="42" applyFont="1"/>
    <xf numFmtId="2" fontId="42" fillId="0" borderId="0" xfId="42" applyNumberFormat="1" applyFont="1"/>
    <xf numFmtId="168" fontId="0" fillId="0" borderId="0" xfId="42" applyNumberFormat="1" applyFont="1"/>
    <xf numFmtId="0" fontId="2" fillId="22" borderId="0" xfId="36"/>
    <xf numFmtId="167" fontId="2" fillId="0" borderId="0" xfId="40" applyNumberFormat="1"/>
    <xf numFmtId="167" fontId="39" fillId="0" borderId="0" xfId="40" applyNumberFormat="1" applyFont="1"/>
    <xf numFmtId="0" fontId="39" fillId="0" borderId="0" xfId="40" applyFont="1"/>
    <xf numFmtId="0" fontId="43" fillId="0" borderId="0" xfId="40" applyFont="1"/>
    <xf numFmtId="0" fontId="0" fillId="24" borderId="0" xfId="38" applyFont="1" applyAlignment="1">
      <alignment wrapText="1"/>
    </xf>
    <xf numFmtId="0" fontId="2" fillId="24" borderId="0" xfId="38" applyAlignment="1">
      <alignment wrapText="1"/>
    </xf>
    <xf numFmtId="169" fontId="33" fillId="0" borderId="0" xfId="42" applyNumberFormat="1" applyFont="1"/>
    <xf numFmtId="167" fontId="33" fillId="0" borderId="0" xfId="40" applyNumberFormat="1" applyFont="1"/>
    <xf numFmtId="167" fontId="33" fillId="24" borderId="0" xfId="38" applyNumberFormat="1" applyFont="1"/>
    <xf numFmtId="167" fontId="33" fillId="9" borderId="0" xfId="41" applyNumberFormat="1" applyFont="1"/>
    <xf numFmtId="167" fontId="33" fillId="20" borderId="0" xfId="34" applyNumberFormat="1" applyFont="1"/>
    <xf numFmtId="0" fontId="2" fillId="27" borderId="0" xfId="37" applyFill="1"/>
    <xf numFmtId="167" fontId="2" fillId="27" borderId="0" xfId="37" applyNumberFormat="1" applyFill="1"/>
    <xf numFmtId="0" fontId="2" fillId="28" borderId="0" xfId="40" applyFill="1"/>
    <xf numFmtId="167" fontId="2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2" fillId="29" borderId="0" xfId="40" applyFill="1"/>
    <xf numFmtId="167" fontId="2" fillId="29" borderId="0" xfId="40" applyNumberFormat="1" applyFill="1"/>
    <xf numFmtId="0" fontId="2" fillId="29" borderId="0" xfId="38" applyFill="1"/>
    <xf numFmtId="0" fontId="36" fillId="29" borderId="0" xfId="41" applyFill="1"/>
    <xf numFmtId="0" fontId="2" fillId="29" borderId="0" xfId="34" applyFill="1"/>
    <xf numFmtId="0" fontId="2" fillId="14" borderId="0" xfId="40" applyFill="1"/>
    <xf numFmtId="167" fontId="2" fillId="14" borderId="0" xfId="40" applyNumberFormat="1" applyFill="1"/>
    <xf numFmtId="0" fontId="2" fillId="14" borderId="0" xfId="38" applyFill="1"/>
    <xf numFmtId="0" fontId="36" fillId="14" borderId="0" xfId="41" applyFill="1"/>
    <xf numFmtId="0" fontId="2" fillId="14" borderId="0" xfId="34" applyFill="1"/>
    <xf numFmtId="167" fontId="36" fillId="9" borderId="0" xfId="41" applyNumberFormat="1"/>
    <xf numFmtId="9" fontId="0" fillId="29" borderId="0" xfId="42" applyFont="1" applyFill="1"/>
    <xf numFmtId="0" fontId="44" fillId="0" borderId="0" xfId="40" applyFont="1"/>
    <xf numFmtId="0" fontId="2" fillId="0" borderId="0" xfId="40" applyAlignment="1">
      <alignment wrapText="1"/>
    </xf>
    <xf numFmtId="0" fontId="2" fillId="0" borderId="0" xfId="40" applyAlignment="1">
      <alignment horizontal="left"/>
    </xf>
    <xf numFmtId="9" fontId="2" fillId="0" borderId="0" xfId="40" applyNumberFormat="1"/>
    <xf numFmtId="0" fontId="9" fillId="0" borderId="0" xfId="0" applyFont="1" applyAlignment="1">
      <alignment horizontal="center"/>
    </xf>
    <xf numFmtId="170" fontId="0" fillId="0" borderId="0" xfId="16" applyNumberFormat="1" applyFont="1"/>
    <xf numFmtId="0" fontId="45" fillId="0" borderId="0" xfId="0" applyFont="1"/>
    <xf numFmtId="0" fontId="0" fillId="0" borderId="0" xfId="0" applyAlignment="1">
      <alignment horizontal="center"/>
    </xf>
    <xf numFmtId="0" fontId="46" fillId="0" borderId="0" xfId="0" applyFont="1"/>
    <xf numFmtId="2" fontId="0" fillId="0" borderId="0" xfId="16" applyNumberFormat="1" applyFont="1"/>
    <xf numFmtId="167" fontId="0" fillId="0" borderId="0" xfId="0" applyNumberFormat="1"/>
    <xf numFmtId="9" fontId="47" fillId="0" borderId="0" xfId="16" applyFont="1"/>
    <xf numFmtId="170" fontId="10" fillId="15" borderId="0" xfId="16" applyNumberFormat="1" applyFont="1" applyFill="1"/>
    <xf numFmtId="166" fontId="7" fillId="0" borderId="0" xfId="9" applyNumberFormat="1" applyFont="1"/>
    <xf numFmtId="0" fontId="9" fillId="17" borderId="0" xfId="11" applyFont="1" applyFill="1" applyAlignment="1">
      <alignment horizontal="center" vertical="center" wrapText="1"/>
    </xf>
    <xf numFmtId="0" fontId="24" fillId="17" borderId="0" xfId="23" applyFont="1" applyFill="1" applyBorder="1" applyAlignment="1">
      <alignment horizontal="left" wrapText="1"/>
    </xf>
    <xf numFmtId="0" fontId="24" fillId="17" borderId="0" xfId="23" applyFont="1" applyFill="1" applyBorder="1" applyAlignment="1">
      <alignment horizontal="center" wrapText="1"/>
    </xf>
    <xf numFmtId="0" fontId="0" fillId="17" borderId="0" xfId="0" applyFill="1"/>
    <xf numFmtId="0" fontId="9" fillId="17" borderId="0" xfId="0" applyFont="1" applyFill="1" applyAlignment="1">
      <alignment horizontal="center"/>
    </xf>
    <xf numFmtId="0" fontId="24" fillId="17" borderId="0" xfId="1" applyFont="1" applyFill="1" applyBorder="1" applyAlignment="1">
      <alignment horizontal="left" wrapText="1"/>
    </xf>
    <xf numFmtId="0" fontId="24" fillId="17" borderId="0" xfId="1" applyFont="1" applyFill="1" applyBorder="1" applyAlignment="1">
      <alignment horizontal="center" wrapText="1"/>
    </xf>
    <xf numFmtId="2" fontId="10" fillId="17" borderId="0" xfId="0" applyNumberFormat="1" applyFont="1" applyFill="1"/>
    <xf numFmtId="2" fontId="26" fillId="17" borderId="0" xfId="0" applyNumberFormat="1" applyFont="1" applyFill="1"/>
    <xf numFmtId="170" fontId="0" fillId="0" borderId="0" xfId="0" applyNumberFormat="1"/>
    <xf numFmtId="9" fontId="10" fillId="0" borderId="0" xfId="16" applyFont="1"/>
    <xf numFmtId="166" fontId="31" fillId="0" borderId="0" xfId="9" applyNumberFormat="1" applyFont="1"/>
    <xf numFmtId="0" fontId="31" fillId="17" borderId="0" xfId="9" applyFont="1" applyFill="1"/>
    <xf numFmtId="1" fontId="26" fillId="17" borderId="0" xfId="8" applyNumberFormat="1" applyFont="1" applyFill="1"/>
    <xf numFmtId="0" fontId="48" fillId="3" borderId="0" xfId="31" applyFont="1" applyBorder="1" applyAlignment="1">
      <alignment horizontal="left" wrapText="1"/>
    </xf>
    <xf numFmtId="9" fontId="49" fillId="14" borderId="0" xfId="0" applyNumberFormat="1" applyFont="1" applyFill="1" applyAlignment="1">
      <alignment wrapText="1"/>
    </xf>
    <xf numFmtId="0" fontId="48" fillId="0" borderId="0" xfId="31" applyFont="1" applyFill="1" applyBorder="1" applyAlignment="1">
      <alignment horizontal="left" wrapText="1"/>
    </xf>
    <xf numFmtId="0" fontId="20" fillId="7" borderId="2" xfId="6" applyBorder="1" applyAlignment="1">
      <alignment wrapText="1"/>
    </xf>
    <xf numFmtId="0" fontId="20" fillId="7" borderId="2" xfId="6" applyBorder="1"/>
    <xf numFmtId="1" fontId="20" fillId="7" borderId="1" xfId="6" applyNumberFormat="1" applyBorder="1" applyAlignment="1"/>
    <xf numFmtId="165" fontId="20" fillId="7" borderId="5" xfId="6" applyNumberFormat="1" applyBorder="1" applyAlignment="1">
      <alignment horizontal="right" vertical="center"/>
    </xf>
    <xf numFmtId="1" fontId="20" fillId="7" borderId="0" xfId="6" applyNumberFormat="1"/>
    <xf numFmtId="1" fontId="20" fillId="7" borderId="10" xfId="6" applyNumberFormat="1" applyBorder="1"/>
    <xf numFmtId="1" fontId="20" fillId="7" borderId="11" xfId="6" applyNumberFormat="1" applyBorder="1" applyAlignment="1">
      <alignment horizontal="right"/>
    </xf>
    <xf numFmtId="1" fontId="20" fillId="7" borderId="2" xfId="6" applyNumberFormat="1" applyBorder="1" applyAlignment="1">
      <alignment horizontal="right"/>
    </xf>
    <xf numFmtId="167" fontId="20" fillId="7" borderId="0" xfId="6" applyNumberFormat="1"/>
    <xf numFmtId="0" fontId="50" fillId="3" borderId="0" xfId="31" applyFont="1" applyBorder="1" applyAlignment="1">
      <alignment horizontal="left" wrapText="1"/>
    </xf>
    <xf numFmtId="1" fontId="50" fillId="3" borderId="0" xfId="31" applyNumberFormat="1" applyFont="1" applyBorder="1" applyAlignment="1">
      <alignment horizontal="left" wrapText="1"/>
    </xf>
    <xf numFmtId="0" fontId="24" fillId="17" borderId="0" xfId="31" applyFont="1" applyFill="1" applyBorder="1" applyAlignment="1">
      <alignment horizontal="left" wrapText="1"/>
    </xf>
    <xf numFmtId="0" fontId="29" fillId="17" borderId="0" xfId="0" applyFont="1" applyFill="1" applyAlignment="1">
      <alignment wrapText="1"/>
    </xf>
    <xf numFmtId="0" fontId="10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20" fillId="31" borderId="0" xfId="6" applyNumberFormat="1" applyFill="1"/>
    <xf numFmtId="2" fontId="0" fillId="31" borderId="0" xfId="16" applyNumberFormat="1" applyFont="1" applyFill="1"/>
    <xf numFmtId="9" fontId="47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8" fillId="32" borderId="0" xfId="43" applyFill="1"/>
    <xf numFmtId="167" fontId="18" fillId="32" borderId="0" xfId="43" applyNumberFormat="1" applyFill="1"/>
    <xf numFmtId="167" fontId="20" fillId="32" borderId="0" xfId="6" applyNumberFormat="1" applyFill="1"/>
    <xf numFmtId="2" fontId="18" fillId="32" borderId="0" xfId="43" applyNumberFormat="1" applyFill="1"/>
    <xf numFmtId="9" fontId="33" fillId="32" borderId="0" xfId="43" applyNumberFormat="1" applyFont="1" applyFill="1"/>
    <xf numFmtId="9" fontId="18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1" fillId="33" borderId="10" xfId="7" applyFill="1"/>
    <xf numFmtId="167" fontId="21" fillId="33" borderId="10" xfId="7" applyNumberFormat="1" applyFill="1"/>
    <xf numFmtId="167" fontId="20" fillId="33" borderId="10" xfId="6" applyNumberFormat="1" applyFill="1" applyBorder="1"/>
    <xf numFmtId="2" fontId="21" fillId="33" borderId="10" xfId="7" applyNumberFormat="1" applyFill="1"/>
    <xf numFmtId="9" fontId="33" fillId="33" borderId="10" xfId="7" applyNumberFormat="1" applyFont="1" applyFill="1"/>
    <xf numFmtId="9" fontId="21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2" fontId="26" fillId="17" borderId="0" xfId="9" applyNumberFormat="1" applyFont="1" applyFill="1"/>
    <xf numFmtId="2" fontId="10" fillId="17" borderId="0" xfId="9" applyNumberFormat="1" applyFill="1"/>
    <xf numFmtId="0" fontId="24" fillId="3" borderId="0" xfId="33" applyFont="1" applyBorder="1" applyAlignment="1">
      <alignment horizontal="left" wrapText="1"/>
    </xf>
    <xf numFmtId="0" fontId="18" fillId="17" borderId="0" xfId="3" applyFill="1"/>
    <xf numFmtId="0" fontId="39" fillId="0" borderId="19" xfId="40" applyFont="1" applyBorder="1" applyAlignment="1">
      <alignment horizontal="center" vertical="center"/>
    </xf>
    <xf numFmtId="0" fontId="39" fillId="0" borderId="20" xfId="40" applyFont="1" applyBorder="1" applyAlignment="1">
      <alignment horizontal="center" vertical="center"/>
    </xf>
    <xf numFmtId="0" fontId="39" fillId="0" borderId="21" xfId="40" applyFont="1" applyBorder="1" applyAlignment="1">
      <alignment horizontal="center" vertical="center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39" fillId="0" borderId="25" xfId="40" applyFont="1" applyBorder="1" applyAlignment="1">
      <alignment horizontal="justify" vertical="center" wrapText="1"/>
    </xf>
    <xf numFmtId="0" fontId="39" fillId="0" borderId="27" xfId="40" applyFont="1" applyBorder="1" applyAlignment="1">
      <alignment horizontal="justify" vertical="center" wrapText="1"/>
    </xf>
    <xf numFmtId="0" fontId="39" fillId="0" borderId="24" xfId="40" applyFont="1" applyBorder="1" applyAlignment="1">
      <alignment horizontal="justify" vertical="center" wrapText="1"/>
    </xf>
    <xf numFmtId="0" fontId="40" fillId="0" borderId="19" xfId="40" applyFont="1" applyBorder="1" applyAlignment="1">
      <alignment horizontal="justify" vertical="center" wrapText="1"/>
    </xf>
    <xf numFmtId="0" fontId="40" fillId="0" borderId="20" xfId="40" applyFont="1" applyBorder="1" applyAlignment="1">
      <alignment horizontal="justify" vertical="center" wrapText="1"/>
    </xf>
    <xf numFmtId="0" fontId="40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35</xdr:row>
      <xdr:rowOff>65943</xdr:rowOff>
    </xdr:from>
    <xdr:to>
      <xdr:col>25</xdr:col>
      <xdr:colOff>3771674</xdr:colOff>
      <xdr:row>40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253</v>
      </c>
      <c r="B1" s="169"/>
      <c r="C1" s="169"/>
      <c r="D1" s="169"/>
      <c r="V1" s="174" t="s">
        <v>254</v>
      </c>
    </row>
    <row r="2" spans="1:32" ht="15" thickBot="1" x14ac:dyDescent="0.4">
      <c r="A2" s="316" t="s">
        <v>140</v>
      </c>
      <c r="B2" s="317"/>
      <c r="C2" s="317"/>
      <c r="D2" s="317"/>
      <c r="E2" s="318"/>
      <c r="F2" s="316" t="s">
        <v>255</v>
      </c>
      <c r="G2" s="317"/>
      <c r="H2" s="317"/>
      <c r="I2" s="318"/>
      <c r="J2" s="322" t="s">
        <v>256</v>
      </c>
      <c r="K2" s="323"/>
      <c r="L2" s="323"/>
      <c r="M2" s="324"/>
      <c r="N2" s="316" t="s">
        <v>257</v>
      </c>
      <c r="O2" s="317"/>
      <c r="P2" s="317"/>
      <c r="Q2" s="317"/>
      <c r="R2" s="318"/>
      <c r="V2" s="175" t="s">
        <v>140</v>
      </c>
      <c r="W2" s="313" t="s">
        <v>258</v>
      </c>
      <c r="X2" s="314"/>
      <c r="Y2" s="314"/>
      <c r="Z2" s="314"/>
      <c r="AA2" s="315"/>
      <c r="AB2" s="313" t="s">
        <v>259</v>
      </c>
      <c r="AC2" s="314"/>
      <c r="AD2" s="314"/>
      <c r="AE2" s="314"/>
      <c r="AF2" s="315"/>
    </row>
    <row r="3" spans="1:32" ht="24.65" customHeight="1" thickBot="1" x14ac:dyDescent="0.4">
      <c r="A3" s="316" t="s">
        <v>260</v>
      </c>
      <c r="B3" s="317"/>
      <c r="C3" s="317"/>
      <c r="D3" s="317"/>
      <c r="E3" s="318"/>
      <c r="F3" s="176">
        <v>5</v>
      </c>
      <c r="G3" s="176" t="s">
        <v>261</v>
      </c>
      <c r="H3" s="176" t="s">
        <v>262</v>
      </c>
      <c r="I3" s="177">
        <v>10</v>
      </c>
      <c r="J3" s="178">
        <v>5</v>
      </c>
      <c r="K3" s="176" t="s">
        <v>261</v>
      </c>
      <c r="L3" s="179" t="s">
        <v>262</v>
      </c>
      <c r="M3" s="178">
        <v>10</v>
      </c>
      <c r="N3" s="176">
        <v>5</v>
      </c>
      <c r="O3" s="177" t="s">
        <v>261</v>
      </c>
      <c r="P3" s="178" t="s">
        <v>262</v>
      </c>
      <c r="Q3" s="178"/>
      <c r="R3" s="176">
        <v>10</v>
      </c>
      <c r="V3" s="180" t="s">
        <v>263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9" t="s">
        <v>264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20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265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20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20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266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20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20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267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20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21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9" t="s">
        <v>268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20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20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20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20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20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20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21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269</v>
      </c>
      <c r="C23" s="192"/>
      <c r="D23" s="192"/>
      <c r="E23" s="192" t="s">
        <v>270</v>
      </c>
      <c r="F23" s="192"/>
      <c r="G23" s="170" t="s">
        <v>271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272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273</v>
      </c>
      <c r="X25" s="6" t="s">
        <v>274</v>
      </c>
    </row>
    <row r="26" spans="1:24" s="194" customFormat="1" x14ac:dyDescent="0.35">
      <c r="A26" s="194" t="s">
        <v>275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276</v>
      </c>
    </row>
    <row r="27" spans="1:24" x14ac:dyDescent="0.35">
      <c r="A27" s="170" t="s">
        <v>277</v>
      </c>
      <c r="E27" s="170">
        <f>(E50+E52+E51)*0.2777778</f>
        <v>19062.637636122003</v>
      </c>
    </row>
    <row r="28" spans="1:24" s="196" customFormat="1" x14ac:dyDescent="0.35">
      <c r="A28" s="196" t="s">
        <v>278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279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280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281</v>
      </c>
      <c r="E31" s="198"/>
      <c r="O31" s="199">
        <f>(O26-E26)/E26</f>
        <v>-1</v>
      </c>
    </row>
    <row r="32" spans="1:24" s="200" customFormat="1" x14ac:dyDescent="0.35">
      <c r="A32" s="200" t="s">
        <v>282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156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283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284</v>
      </c>
    </row>
    <row r="39" spans="1:20" s="202" customFormat="1" x14ac:dyDescent="0.35">
      <c r="A39" s="202" t="s">
        <v>285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286</v>
      </c>
    </row>
    <row r="40" spans="1:20" s="202" customFormat="1" x14ac:dyDescent="0.35">
      <c r="A40" s="202" t="s">
        <v>155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287</v>
      </c>
    </row>
    <row r="41" spans="1:20" s="202" customFormat="1" x14ac:dyDescent="0.35">
      <c r="A41" s="202" t="s">
        <v>288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289</v>
      </c>
    </row>
    <row r="42" spans="1:20" s="202" customFormat="1" x14ac:dyDescent="0.35">
      <c r="A42" s="202" t="s">
        <v>290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291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292</v>
      </c>
      <c r="E45" s="208">
        <f>E39/(E38+E39)</f>
        <v>0.78227062033730832</v>
      </c>
    </row>
    <row r="46" spans="1:20" x14ac:dyDescent="0.35">
      <c r="A46" s="170" t="s">
        <v>293</v>
      </c>
      <c r="E46" s="198">
        <f>E38/(E38+E39)</f>
        <v>0.21772937966269174</v>
      </c>
    </row>
    <row r="47" spans="1:20" x14ac:dyDescent="0.35">
      <c r="A47" s="202" t="s">
        <v>294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295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296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297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298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299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300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301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302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303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304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305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306</v>
      </c>
      <c r="G63" s="170" t="s">
        <v>307</v>
      </c>
      <c r="J63" s="214" t="s">
        <v>308</v>
      </c>
      <c r="O63" s="215"/>
      <c r="P63" s="215" t="s">
        <v>309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310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311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312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313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314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315</v>
      </c>
    </row>
    <row r="69" spans="1:25" s="223" customFormat="1" x14ac:dyDescent="0.35">
      <c r="A69" s="223" t="s">
        <v>316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317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318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319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320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321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322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323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324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325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326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327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328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329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330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331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332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333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334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335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336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337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338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339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340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341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342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343</v>
      </c>
    </row>
    <row r="109" spans="1:19" x14ac:dyDescent="0.35">
      <c r="A109" s="170" t="s">
        <v>344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345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1" sqref="K21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299</v>
      </c>
      <c r="K1" s="241" t="s">
        <v>314</v>
      </c>
      <c r="L1" s="241" t="s">
        <v>316</v>
      </c>
      <c r="M1" s="241" t="s">
        <v>317</v>
      </c>
      <c r="N1" s="241" t="s">
        <v>318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299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314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316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317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318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346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347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348</v>
      </c>
      <c r="B1" s="20" t="s">
        <v>21</v>
      </c>
      <c r="C1" s="327" t="s">
        <v>349</v>
      </c>
      <c r="D1" s="327"/>
      <c r="E1" s="327"/>
      <c r="F1" s="327"/>
      <c r="G1" s="327" t="s">
        <v>350</v>
      </c>
      <c r="H1" s="327"/>
      <c r="I1" s="327"/>
      <c r="J1" s="327"/>
      <c r="K1" s="327" t="s">
        <v>351</v>
      </c>
      <c r="L1" s="327"/>
      <c r="M1" s="327" t="s">
        <v>352</v>
      </c>
      <c r="N1" s="327"/>
      <c r="O1" s="327" t="s">
        <v>353</v>
      </c>
      <c r="P1" s="327"/>
      <c r="Q1" s="327"/>
      <c r="R1" s="327" t="s">
        <v>353</v>
      </c>
      <c r="S1" s="327"/>
      <c r="T1" s="327"/>
      <c r="U1" s="327" t="s">
        <v>353</v>
      </c>
      <c r="V1" s="327"/>
      <c r="W1" s="327"/>
      <c r="X1" s="20" t="s">
        <v>354</v>
      </c>
      <c r="Y1" s="327" t="s">
        <v>355</v>
      </c>
      <c r="Z1" s="327"/>
      <c r="AA1" s="327"/>
    </row>
    <row r="2" spans="1:27" s="20" customFormat="1" ht="13" x14ac:dyDescent="0.3">
      <c r="A2" s="20" t="s">
        <v>356</v>
      </c>
      <c r="C2" s="20" t="s">
        <v>357</v>
      </c>
      <c r="D2" s="20" t="s">
        <v>358</v>
      </c>
      <c r="E2" s="20" t="s">
        <v>359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359</v>
      </c>
      <c r="J2" s="20" t="str">
        <f>F2</f>
        <v>Currency</v>
      </c>
      <c r="K2" s="20" t="s">
        <v>357</v>
      </c>
      <c r="L2" s="20" t="s">
        <v>358</v>
      </c>
      <c r="O2" s="327" t="s">
        <v>357</v>
      </c>
      <c r="P2" s="327"/>
      <c r="Q2" s="327"/>
      <c r="R2" s="327" t="s">
        <v>360</v>
      </c>
      <c r="S2" s="327"/>
      <c r="T2" s="327"/>
      <c r="U2" s="327" t="s">
        <v>359</v>
      </c>
      <c r="V2" s="327"/>
      <c r="W2" s="327"/>
      <c r="X2" s="20" t="s">
        <v>111</v>
      </c>
      <c r="Y2" s="327" t="s">
        <v>361</v>
      </c>
      <c r="Z2" s="327"/>
      <c r="AA2" s="327"/>
    </row>
    <row r="3" spans="1:27" s="20" customFormat="1" ht="13" x14ac:dyDescent="0.3">
      <c r="A3" s="20" t="s">
        <v>356</v>
      </c>
      <c r="O3" s="244" t="s">
        <v>362</v>
      </c>
      <c r="P3" s="244" t="s">
        <v>363</v>
      </c>
      <c r="Q3" s="244" t="s">
        <v>364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362</v>
      </c>
      <c r="Z3" s="20" t="s">
        <v>363</v>
      </c>
      <c r="AA3" s="20" t="s">
        <v>365</v>
      </c>
    </row>
    <row r="4" spans="1:27" ht="13" x14ac:dyDescent="0.3">
      <c r="A4" s="20" t="s">
        <v>356</v>
      </c>
      <c r="B4" t="s">
        <v>366</v>
      </c>
      <c r="C4">
        <v>1093</v>
      </c>
      <c r="D4">
        <v>691</v>
      </c>
      <c r="F4" t="s">
        <v>367</v>
      </c>
      <c r="G4">
        <v>7.3999999999999996E-2</v>
      </c>
      <c r="H4">
        <v>4.2999999999999997E-2</v>
      </c>
      <c r="J4" t="s">
        <v>367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356</v>
      </c>
      <c r="B5" t="s">
        <v>368</v>
      </c>
      <c r="C5">
        <v>2330</v>
      </c>
      <c r="D5">
        <v>2267</v>
      </c>
      <c r="E5">
        <v>824</v>
      </c>
      <c r="F5" t="s">
        <v>367</v>
      </c>
      <c r="G5">
        <v>6.2E-2</v>
      </c>
      <c r="H5">
        <v>5.7000000000000002E-2</v>
      </c>
      <c r="I5">
        <v>0.06</v>
      </c>
      <c r="J5" t="s">
        <v>367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356</v>
      </c>
      <c r="B6" t="s">
        <v>138</v>
      </c>
      <c r="C6">
        <v>1333</v>
      </c>
      <c r="D6">
        <v>1041</v>
      </c>
      <c r="E6">
        <v>1834</v>
      </c>
      <c r="F6" t="s">
        <v>367</v>
      </c>
      <c r="G6">
        <v>5.0999999999999997E-2</v>
      </c>
      <c r="H6">
        <v>3.4000000000000002E-2</v>
      </c>
      <c r="I6">
        <v>5.0999999999999997E-2</v>
      </c>
      <c r="J6" t="s">
        <v>367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356</v>
      </c>
      <c r="B7" s="246" t="s">
        <v>369</v>
      </c>
      <c r="H7" s="246">
        <v>2.1000000000000001E-2</v>
      </c>
      <c r="I7" s="246"/>
      <c r="J7" t="s">
        <v>367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356</v>
      </c>
      <c r="B8" s="246" t="s">
        <v>370</v>
      </c>
      <c r="H8" s="246">
        <v>7.9000000000000001E-2</v>
      </c>
      <c r="I8" s="246"/>
      <c r="J8" t="s">
        <v>367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356</v>
      </c>
      <c r="B9" s="153" t="s">
        <v>169</v>
      </c>
      <c r="H9" s="246">
        <v>0.11899999999999999</v>
      </c>
      <c r="I9" s="246"/>
      <c r="J9" t="s">
        <v>367</v>
      </c>
    </row>
    <row r="10" spans="1:27" ht="13" x14ac:dyDescent="0.3">
      <c r="A10" s="20" t="s">
        <v>356</v>
      </c>
      <c r="B10" s="153" t="s">
        <v>371</v>
      </c>
      <c r="I10">
        <v>0.1</v>
      </c>
    </row>
    <row r="11" spans="1:27" ht="13" x14ac:dyDescent="0.3">
      <c r="A11" s="20" t="s">
        <v>356</v>
      </c>
      <c r="B11" s="153" t="s">
        <v>372</v>
      </c>
      <c r="I11">
        <v>0.33</v>
      </c>
    </row>
    <row r="12" spans="1:27" ht="15.5" x14ac:dyDescent="0.35">
      <c r="A12" s="20" t="s">
        <v>356</v>
      </c>
      <c r="B12" s="153" t="s">
        <v>373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356</v>
      </c>
      <c r="B13" s="153" t="s">
        <v>374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356</v>
      </c>
      <c r="B14" s="153" t="s">
        <v>375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5" t="str">
        <f t="shared" si="1"/>
        <v>Installation Cost per kW</v>
      </c>
      <c r="D17" s="325"/>
      <c r="E17" s="325"/>
      <c r="F17" s="325"/>
      <c r="G17" t="s">
        <v>376</v>
      </c>
      <c r="H17" t="s">
        <v>377</v>
      </c>
      <c r="I17" t="s">
        <v>378</v>
      </c>
      <c r="J17" t="s">
        <v>379</v>
      </c>
      <c r="K17" t="s">
        <v>380</v>
      </c>
      <c r="L17" t="s">
        <v>109</v>
      </c>
      <c r="M17" t="s">
        <v>381</v>
      </c>
      <c r="N17" t="s">
        <v>382</v>
      </c>
      <c r="O17" t="s">
        <v>383</v>
      </c>
    </row>
    <row r="18" spans="1:16" x14ac:dyDescent="0.25">
      <c r="C18" s="247"/>
      <c r="D18" s="247"/>
      <c r="E18" s="247" t="s">
        <v>384</v>
      </c>
      <c r="F18" s="247"/>
      <c r="G18" t="s">
        <v>384</v>
      </c>
      <c r="H18" t="s">
        <v>384</v>
      </c>
      <c r="I18" s="247" t="s">
        <v>385</v>
      </c>
      <c r="J18" s="247" t="s">
        <v>385</v>
      </c>
      <c r="K18" s="247" t="s">
        <v>385</v>
      </c>
      <c r="L18" s="247"/>
      <c r="M18" s="247" t="s">
        <v>111</v>
      </c>
      <c r="N18" s="247" t="s">
        <v>386</v>
      </c>
      <c r="O18" s="247" t="s">
        <v>386</v>
      </c>
      <c r="P18" s="247"/>
    </row>
    <row r="19" spans="1:16" x14ac:dyDescent="0.25">
      <c r="A19" t="s">
        <v>387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359</v>
      </c>
      <c r="I19" t="str">
        <f>I2</f>
        <v>Ethiopia</v>
      </c>
      <c r="J19" t="s">
        <v>359</v>
      </c>
      <c r="K19" t="s">
        <v>359</v>
      </c>
      <c r="L19" t="s">
        <v>359</v>
      </c>
      <c r="M19" t="s">
        <v>347</v>
      </c>
      <c r="P19">
        <f>P2</f>
        <v>0</v>
      </c>
    </row>
    <row r="20" spans="1:16" x14ac:dyDescent="0.25">
      <c r="A20" t="s">
        <v>388</v>
      </c>
      <c r="B20" t="s">
        <v>389</v>
      </c>
      <c r="E20">
        <v>2770</v>
      </c>
      <c r="F20" t="s">
        <v>384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390</v>
      </c>
      <c r="B21" t="s">
        <v>368</v>
      </c>
      <c r="E21">
        <v>2000</v>
      </c>
      <c r="F21" t="s">
        <v>384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391</v>
      </c>
      <c r="B22" t="s">
        <v>392</v>
      </c>
      <c r="E22">
        <v>2900</v>
      </c>
      <c r="F22" t="s">
        <v>384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393</v>
      </c>
      <c r="B23" t="s">
        <v>394</v>
      </c>
      <c r="E23">
        <v>1100</v>
      </c>
      <c r="F23" t="s">
        <v>384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395</v>
      </c>
      <c r="B24" t="s">
        <v>396</v>
      </c>
      <c r="E24">
        <v>1700</v>
      </c>
      <c r="F24" t="s">
        <v>384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397</v>
      </c>
      <c r="B25" t="s">
        <v>120</v>
      </c>
      <c r="E25">
        <v>3333</v>
      </c>
      <c r="F25" t="s">
        <v>384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398</v>
      </c>
      <c r="B26" t="s">
        <v>399</v>
      </c>
      <c r="E26">
        <v>5238</v>
      </c>
      <c r="F26" t="s">
        <v>384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400</v>
      </c>
      <c r="B31" t="s">
        <v>400</v>
      </c>
      <c r="C31" t="s">
        <v>401</v>
      </c>
    </row>
    <row r="32" spans="1:16" x14ac:dyDescent="0.25">
      <c r="C32" t="s">
        <v>402</v>
      </c>
    </row>
    <row r="33" spans="1:6" x14ac:dyDescent="0.25">
      <c r="A33" t="str">
        <f>A19</f>
        <v>Gebremeskel 2023</v>
      </c>
      <c r="B33" t="s">
        <v>120</v>
      </c>
      <c r="C33">
        <f>3.89/0.0002777778</f>
        <v>14003.99887968009</v>
      </c>
    </row>
    <row r="34" spans="1:6" x14ac:dyDescent="0.25">
      <c r="A34" t="s">
        <v>387</v>
      </c>
      <c r="B34" t="s">
        <v>403</v>
      </c>
      <c r="C34">
        <f>7.66/0.0002777778</f>
        <v>27575.997793920178</v>
      </c>
    </row>
    <row r="35" spans="1:6" x14ac:dyDescent="0.25">
      <c r="A35" t="s">
        <v>387</v>
      </c>
      <c r="B35" t="s">
        <v>404</v>
      </c>
      <c r="C35">
        <f>18.8/0.0002777778</f>
        <v>67679.994585600434</v>
      </c>
    </row>
    <row r="36" spans="1:6" x14ac:dyDescent="0.25">
      <c r="A36" t="s">
        <v>405</v>
      </c>
      <c r="B36" t="s">
        <v>406</v>
      </c>
      <c r="C36">
        <f>8.121/0.0002777778</f>
        <v>29235.597661152191</v>
      </c>
    </row>
    <row r="37" spans="1:6" x14ac:dyDescent="0.25">
      <c r="A37" t="s">
        <v>407</v>
      </c>
      <c r="B37" t="s">
        <v>408</v>
      </c>
      <c r="C37">
        <f>1.263/0.0002777778</f>
        <v>4546.7996362560289</v>
      </c>
    </row>
    <row r="38" spans="1:6" x14ac:dyDescent="0.25">
      <c r="A38" t="s">
        <v>409</v>
      </c>
      <c r="B38" t="s">
        <v>290</v>
      </c>
      <c r="C38">
        <f>5.835/0.0002777778</f>
        <v>21005.998319520135</v>
      </c>
    </row>
    <row r="42" spans="1:6" x14ac:dyDescent="0.25">
      <c r="A42" s="153" t="s">
        <v>410</v>
      </c>
      <c r="B42" s="153" t="s">
        <v>411</v>
      </c>
      <c r="C42" s="326" t="s">
        <v>411</v>
      </c>
      <c r="D42" s="326"/>
      <c r="E42" s="326"/>
    </row>
    <row r="43" spans="1:6" x14ac:dyDescent="0.25">
      <c r="A43" s="153"/>
      <c r="B43" s="153" t="s">
        <v>362</v>
      </c>
      <c r="C43" s="153" t="s">
        <v>362</v>
      </c>
      <c r="D43" s="153" t="s">
        <v>363</v>
      </c>
      <c r="E43" s="153" t="s">
        <v>347</v>
      </c>
      <c r="F43" s="153" t="s">
        <v>412</v>
      </c>
    </row>
    <row r="44" spans="1:6" x14ac:dyDescent="0.25">
      <c r="A44" s="153" t="s">
        <v>413</v>
      </c>
      <c r="B44" s="153" t="s">
        <v>414</v>
      </c>
      <c r="E44">
        <v>0.35</v>
      </c>
    </row>
    <row r="45" spans="1:6" s="154" customFormat="1" x14ac:dyDescent="0.25">
      <c r="A45" s="154" t="s">
        <v>415</v>
      </c>
      <c r="B45" s="154" t="s">
        <v>416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415</v>
      </c>
      <c r="B46" s="154" t="s">
        <v>417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418</v>
      </c>
      <c r="B47" s="153" t="s">
        <v>419</v>
      </c>
      <c r="C47">
        <v>0.8</v>
      </c>
      <c r="D47">
        <v>0.85</v>
      </c>
      <c r="F47">
        <v>0.59299999999999997</v>
      </c>
    </row>
    <row r="48" spans="1:6" x14ac:dyDescent="0.25">
      <c r="A48" t="s">
        <v>420</v>
      </c>
      <c r="B48" s="153" t="s">
        <v>419</v>
      </c>
      <c r="C48">
        <v>0.8</v>
      </c>
      <c r="D48">
        <v>0.81</v>
      </c>
    </row>
    <row r="49" spans="1:6" ht="13" x14ac:dyDescent="0.3">
      <c r="A49" s="248" t="s">
        <v>421</v>
      </c>
      <c r="B49" s="153" t="s">
        <v>422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421</v>
      </c>
      <c r="B50" s="153" t="s">
        <v>423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424</v>
      </c>
      <c r="B51" s="153" t="s">
        <v>425</v>
      </c>
      <c r="E51">
        <v>0.85</v>
      </c>
      <c r="F51">
        <v>0.76100000000000001</v>
      </c>
    </row>
    <row r="52" spans="1:6" x14ac:dyDescent="0.25">
      <c r="A52" t="s">
        <v>426</v>
      </c>
      <c r="B52" s="153" t="s">
        <v>427</v>
      </c>
      <c r="E52">
        <v>0.51039999999999996</v>
      </c>
    </row>
    <row r="53" spans="1:6" ht="13" x14ac:dyDescent="0.3">
      <c r="A53" s="248" t="s">
        <v>428</v>
      </c>
      <c r="B53" s="153" t="s">
        <v>429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125</v>
      </c>
      <c r="G2" s="27" t="s">
        <v>135</v>
      </c>
      <c r="H2" s="27" t="s">
        <v>136</v>
      </c>
      <c r="I2" s="27" t="s">
        <v>127</v>
      </c>
      <c r="J2" s="27" t="s">
        <v>46</v>
      </c>
      <c r="K2" s="20"/>
      <c r="P2" s="24" t="s">
        <v>121</v>
      </c>
      <c r="Q2" s="7" t="s">
        <v>122</v>
      </c>
      <c r="R2" s="7" t="s">
        <v>251</v>
      </c>
    </row>
    <row r="3" spans="2:18" ht="13" x14ac:dyDescent="0.3">
      <c r="C3" s="4"/>
      <c r="D3" s="28" t="s">
        <v>169</v>
      </c>
      <c r="E3" s="28" t="s">
        <v>123</v>
      </c>
      <c r="F3" s="28" t="s">
        <v>126</v>
      </c>
      <c r="G3" s="28" t="s">
        <v>137</v>
      </c>
      <c r="H3" s="28" t="s">
        <v>138</v>
      </c>
      <c r="I3" s="28" t="s">
        <v>120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124</v>
      </c>
      <c r="C7" s="60" t="s">
        <v>128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112</v>
      </c>
      <c r="C8" s="38" t="s">
        <v>113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134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129</v>
      </c>
      <c r="C18" s="45" t="s">
        <v>130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131</v>
      </c>
      <c r="C19" s="45" t="s">
        <v>132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133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114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156</v>
      </c>
      <c r="D37" s="13" t="s">
        <v>44</v>
      </c>
      <c r="E37" s="5" t="s">
        <v>155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157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125</v>
      </c>
      <c r="G44" s="27" t="s">
        <v>135</v>
      </c>
      <c r="H44" s="27" t="s">
        <v>136</v>
      </c>
      <c r="I44" s="27" t="s">
        <v>127</v>
      </c>
      <c r="J44" s="27" t="s">
        <v>46</v>
      </c>
    </row>
    <row r="45" spans="2:12" ht="13" x14ac:dyDescent="0.3">
      <c r="B45" t="s">
        <v>140</v>
      </c>
      <c r="C45" t="s">
        <v>139</v>
      </c>
      <c r="D45" s="28" t="s">
        <v>47</v>
      </c>
      <c r="E45" s="28" t="s">
        <v>123</v>
      </c>
      <c r="F45" s="28" t="s">
        <v>126</v>
      </c>
      <c r="G45" s="28" t="s">
        <v>137</v>
      </c>
      <c r="H45" s="28" t="s">
        <v>138</v>
      </c>
      <c r="I45" s="28" t="s">
        <v>120</v>
      </c>
      <c r="J45" s="28" t="s">
        <v>85</v>
      </c>
      <c r="K45" s="88" t="s">
        <v>48</v>
      </c>
    </row>
    <row r="46" spans="2:12" x14ac:dyDescent="0.25">
      <c r="B46" t="s">
        <v>129</v>
      </c>
      <c r="C46" t="s">
        <v>141</v>
      </c>
      <c r="D46" s="111">
        <f>D18/(D18+E18)</f>
        <v>0.7466168572973132</v>
      </c>
      <c r="E46" s="111"/>
      <c r="K46" s="114">
        <f>SUM(D46:J46)</f>
        <v>0.7466168572973132</v>
      </c>
      <c r="L46" t="s">
        <v>148</v>
      </c>
    </row>
    <row r="47" spans="2:12" x14ac:dyDescent="0.25">
      <c r="B47" t="s">
        <v>129</v>
      </c>
      <c r="C47" t="s">
        <v>158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159</v>
      </c>
    </row>
    <row r="48" spans="2:12" x14ac:dyDescent="0.25">
      <c r="B48" t="s">
        <v>129</v>
      </c>
      <c r="C48" t="s">
        <v>163</v>
      </c>
      <c r="J48" s="111">
        <v>1</v>
      </c>
      <c r="K48" s="114">
        <f>SUM(D48:J48)</f>
        <v>1</v>
      </c>
      <c r="L48" t="s">
        <v>164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143</v>
      </c>
      <c r="D65" s="81" t="s">
        <v>144</v>
      </c>
      <c r="E65" s="82" t="s">
        <v>145</v>
      </c>
    </row>
    <row r="66" spans="2:5" ht="13" x14ac:dyDescent="0.3">
      <c r="B66" s="12" t="s">
        <v>142</v>
      </c>
      <c r="C66" s="83" t="s">
        <v>146</v>
      </c>
      <c r="D66" s="83" t="s">
        <v>147</v>
      </c>
      <c r="E66" s="84" t="s">
        <v>145</v>
      </c>
    </row>
    <row r="67" spans="2:5" ht="13" x14ac:dyDescent="0.3">
      <c r="B67" s="29" t="s">
        <v>129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125</v>
      </c>
      <c r="G2" s="271" t="s">
        <v>135</v>
      </c>
      <c r="H2" s="27" t="s">
        <v>136</v>
      </c>
      <c r="I2" s="27" t="s">
        <v>127</v>
      </c>
      <c r="J2" s="27" t="s">
        <v>46</v>
      </c>
      <c r="K2" s="20"/>
      <c r="P2" s="24" t="s">
        <v>121</v>
      </c>
      <c r="Q2" s="7" t="s">
        <v>160</v>
      </c>
      <c r="R2" s="7" t="s">
        <v>251</v>
      </c>
    </row>
    <row r="3" spans="2:18" x14ac:dyDescent="0.35">
      <c r="C3" s="4"/>
      <c r="D3" s="28" t="s">
        <v>169</v>
      </c>
      <c r="E3" s="28" t="s">
        <v>123</v>
      </c>
      <c r="F3" s="28" t="s">
        <v>126</v>
      </c>
      <c r="G3" s="271" t="s">
        <v>137</v>
      </c>
      <c r="H3" s="28" t="s">
        <v>138</v>
      </c>
      <c r="I3" s="28" t="s">
        <v>120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124</v>
      </c>
      <c r="C7" s="60" t="s">
        <v>128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112</v>
      </c>
      <c r="C8" s="38" t="s">
        <v>113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134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129</v>
      </c>
      <c r="C18" s="141" t="s">
        <v>130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131</v>
      </c>
      <c r="C19" s="45" t="s">
        <v>132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133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114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156</v>
      </c>
      <c r="D37" s="13" t="s">
        <v>44</v>
      </c>
      <c r="E37" s="5" t="s">
        <v>155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157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125</v>
      </c>
      <c r="G44" s="271" t="s">
        <v>135</v>
      </c>
      <c r="H44" s="27" t="s">
        <v>136</v>
      </c>
      <c r="I44" s="27" t="s">
        <v>127</v>
      </c>
      <c r="J44" s="27" t="s">
        <v>46</v>
      </c>
    </row>
    <row r="45" spans="2:12" x14ac:dyDescent="0.35">
      <c r="B45" t="s">
        <v>140</v>
      </c>
      <c r="C45" t="s">
        <v>139</v>
      </c>
      <c r="D45" s="28" t="s">
        <v>47</v>
      </c>
      <c r="E45" s="28" t="s">
        <v>123</v>
      </c>
      <c r="F45" s="28" t="s">
        <v>126</v>
      </c>
      <c r="G45" s="271" t="s">
        <v>137</v>
      </c>
      <c r="H45" s="28" t="s">
        <v>138</v>
      </c>
      <c r="I45" s="28" t="s">
        <v>120</v>
      </c>
      <c r="J45" s="28" t="s">
        <v>85</v>
      </c>
      <c r="K45" s="88" t="s">
        <v>48</v>
      </c>
    </row>
    <row r="46" spans="2:12" x14ac:dyDescent="0.35">
      <c r="B46" t="s">
        <v>129</v>
      </c>
      <c r="C46" t="s">
        <v>141</v>
      </c>
      <c r="D46" s="111">
        <f>D18/(D18+E18)</f>
        <v>0.7466168572973132</v>
      </c>
      <c r="E46" s="111"/>
      <c r="K46" s="114">
        <f>SUM(D46:J46)</f>
        <v>0.7466168572973132</v>
      </c>
      <c r="L46" t="s">
        <v>148</v>
      </c>
    </row>
    <row r="47" spans="2:12" x14ac:dyDescent="0.35">
      <c r="B47" t="s">
        <v>129</v>
      </c>
      <c r="C47" t="s">
        <v>158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159</v>
      </c>
    </row>
    <row r="48" spans="2:12" x14ac:dyDescent="0.35">
      <c r="B48" t="s">
        <v>129</v>
      </c>
      <c r="C48" t="s">
        <v>163</v>
      </c>
      <c r="J48" s="111">
        <v>1</v>
      </c>
      <c r="K48" s="114">
        <f>SUM(D48:J48)</f>
        <v>1</v>
      </c>
      <c r="L48" t="s">
        <v>164</v>
      </c>
    </row>
    <row r="49" spans="2:16" x14ac:dyDescent="0.35">
      <c r="J49" s="111"/>
      <c r="K49" s="114"/>
    </row>
    <row r="50" spans="2:16" x14ac:dyDescent="0.35">
      <c r="J50" s="111"/>
      <c r="K50" s="114" t="s">
        <v>439</v>
      </c>
      <c r="L50" t="s">
        <v>440</v>
      </c>
    </row>
    <row r="51" spans="2:16" x14ac:dyDescent="0.35">
      <c r="C51" t="s">
        <v>430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438</v>
      </c>
      <c r="J51" s="111" t="s">
        <v>437</v>
      </c>
      <c r="K51" s="114" t="s">
        <v>307</v>
      </c>
      <c r="M51" t="s">
        <v>453</v>
      </c>
      <c r="N51" t="s">
        <v>454</v>
      </c>
      <c r="O51" t="s">
        <v>455</v>
      </c>
      <c r="P51" t="s">
        <v>466</v>
      </c>
    </row>
    <row r="52" spans="2:16" x14ac:dyDescent="0.35">
      <c r="C52" t="s">
        <v>431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432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433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436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291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441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435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434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442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456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447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436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448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347</v>
      </c>
    </row>
    <row r="67" spans="2:16" x14ac:dyDescent="0.35">
      <c r="C67" t="s">
        <v>457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165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143</v>
      </c>
      <c r="D72" s="81" t="s">
        <v>144</v>
      </c>
      <c r="E72" s="82" t="s">
        <v>145</v>
      </c>
    </row>
    <row r="73" spans="2:16" x14ac:dyDescent="0.35">
      <c r="B73" s="12" t="s">
        <v>142</v>
      </c>
      <c r="C73" s="83" t="s">
        <v>146</v>
      </c>
      <c r="D73" s="83" t="s">
        <v>147</v>
      </c>
      <c r="E73" s="84" t="s">
        <v>145</v>
      </c>
    </row>
    <row r="74" spans="2:16" x14ac:dyDescent="0.35">
      <c r="B74" s="29" t="s">
        <v>129</v>
      </c>
      <c r="C74" s="85">
        <v>1</v>
      </c>
      <c r="D74" s="86"/>
      <c r="E74" s="87"/>
    </row>
  </sheetData>
  <phoneticPr fontId="29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118</v>
      </c>
    </row>
    <row r="3" spans="2:16" ht="18" x14ac:dyDescent="0.4">
      <c r="K3" s="50" t="s">
        <v>119</v>
      </c>
    </row>
    <row r="4" spans="2:16" ht="13" x14ac:dyDescent="0.3">
      <c r="B4" s="20" t="s">
        <v>116</v>
      </c>
    </row>
    <row r="14" spans="2:16" ht="18" x14ac:dyDescent="0.4">
      <c r="B14" s="50" t="s">
        <v>100</v>
      </c>
    </row>
    <row r="16" spans="2:16" ht="13" x14ac:dyDescent="0.3">
      <c r="D16" s="51" t="s">
        <v>115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D26" sqref="D26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160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155</v>
      </c>
      <c r="E3" s="7" t="s">
        <v>160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242</v>
      </c>
      <c r="D4" s="1" t="s">
        <v>240</v>
      </c>
      <c r="E4" s="79" t="s">
        <v>160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248</v>
      </c>
      <c r="P5" s="66" t="s">
        <v>166</v>
      </c>
      <c r="Q5" s="66" t="s">
        <v>160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249</v>
      </c>
      <c r="P6" s="66" t="s">
        <v>167</v>
      </c>
      <c r="Q6" s="66" t="s">
        <v>160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250</v>
      </c>
      <c r="P7" s="66" t="s">
        <v>168</v>
      </c>
      <c r="Q7" s="66" t="s">
        <v>160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252</v>
      </c>
      <c r="Q8" s="66" t="s">
        <v>160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161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162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232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160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160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160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243</v>
      </c>
      <c r="Q26" t="s">
        <v>160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41"/>
  <sheetViews>
    <sheetView tabSelected="1" topLeftCell="C11" zoomScale="118" zoomScaleNormal="118" workbookViewId="0">
      <selection activeCell="I28" sqref="I28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11.6328125" style="90" customWidth="1"/>
    <col min="6" max="12" width="11.26953125" style="90" customWidth="1"/>
    <col min="13" max="13" width="12" style="90" bestFit="1" customWidth="1"/>
    <col min="14" max="14" width="7.81640625" style="90" bestFit="1" customWidth="1"/>
    <col min="15" max="15" width="8.1796875" style="90" customWidth="1"/>
    <col min="16" max="16" width="9.7265625" style="90" customWidth="1"/>
    <col min="17" max="17" width="9.36328125" style="90" customWidth="1"/>
    <col min="18" max="18" width="7.08984375" style="90" customWidth="1"/>
    <col min="19" max="22" width="8.1796875" style="90" customWidth="1"/>
    <col min="23" max="23" width="12.7265625" style="90" bestFit="1" customWidth="1"/>
    <col min="24" max="24" width="7.1796875" style="90" customWidth="1"/>
    <col min="25" max="25" width="15.81640625" style="90" bestFit="1" customWidth="1"/>
    <col min="26" max="26" width="63.81640625" style="90" bestFit="1" customWidth="1"/>
    <col min="27" max="27" width="8.26953125" style="90" bestFit="1" customWidth="1"/>
    <col min="28" max="28" width="11.7265625" style="90" customWidth="1"/>
    <col min="29" max="29" width="13.453125" style="90" customWidth="1"/>
    <col min="30" max="30" width="13.81640625" style="90" customWidth="1"/>
    <col min="31" max="31" width="8.453125" style="90" customWidth="1"/>
    <col min="32" max="16384" width="8.81640625" style="90"/>
  </cols>
  <sheetData>
    <row r="1" spans="2:31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 t="s">
        <v>103</v>
      </c>
      <c r="H1" s="312"/>
      <c r="I1" s="312"/>
      <c r="J1" s="312"/>
      <c r="K1" s="312"/>
      <c r="L1" s="312"/>
      <c r="M1" s="312"/>
    </row>
    <row r="2" spans="2:31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 t="s">
        <v>104</v>
      </c>
      <c r="H2" s="79"/>
      <c r="I2" s="79"/>
      <c r="J2" s="79"/>
      <c r="K2" s="79"/>
      <c r="L2" s="79"/>
      <c r="M2" s="79"/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ht="13" x14ac:dyDescent="0.3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2" thickBot="1" x14ac:dyDescent="0.4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5" x14ac:dyDescent="0.3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8" t="s">
        <v>74</v>
      </c>
      <c r="X5" s="158"/>
      <c r="Y5" s="158" t="s">
        <v>447</v>
      </c>
      <c r="Z5" s="158" t="s">
        <v>449</v>
      </c>
      <c r="AA5" s="92" t="s">
        <v>160</v>
      </c>
      <c r="AB5" s="92"/>
      <c r="AC5" s="92"/>
      <c r="AD5" s="92"/>
      <c r="AE5" s="92"/>
    </row>
    <row r="6" spans="2:31" ht="15.5" x14ac:dyDescent="0.3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165</v>
      </c>
      <c r="Z6" s="92" t="s">
        <v>244</v>
      </c>
      <c r="AA6" s="92" t="s">
        <v>160</v>
      </c>
      <c r="AB6" s="92"/>
      <c r="AC6" s="92"/>
      <c r="AD6" s="92"/>
      <c r="AE6" s="92"/>
    </row>
    <row r="7" spans="2:31" x14ac:dyDescent="0.25">
      <c r="W7" s="92" t="s">
        <v>149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5">
      <c r="W8" s="158" t="s">
        <v>74</v>
      </c>
      <c r="X8" s="158"/>
      <c r="Y8" s="158" t="s">
        <v>448</v>
      </c>
      <c r="Z8" s="158" t="s">
        <v>450</v>
      </c>
      <c r="AA8" s="253" t="s">
        <v>160</v>
      </c>
      <c r="AB8" s="92"/>
      <c r="AC8" s="92"/>
      <c r="AD8" s="92"/>
      <c r="AE8" s="92"/>
    </row>
    <row r="9" spans="2:31" x14ac:dyDescent="0.25">
      <c r="W9" s="265" t="s">
        <v>82</v>
      </c>
      <c r="X9" s="265"/>
      <c r="Y9" s="265" t="s">
        <v>457</v>
      </c>
      <c r="Z9" s="265" t="s">
        <v>458</v>
      </c>
      <c r="AA9" s="253" t="s">
        <v>160</v>
      </c>
      <c r="AB9" s="92"/>
      <c r="AC9" s="92"/>
      <c r="AD9" s="92"/>
      <c r="AE9" s="92"/>
    </row>
    <row r="10" spans="2:31" x14ac:dyDescent="0.25">
      <c r="W10" s="265"/>
      <c r="X10" s="265"/>
      <c r="Y10" s="265"/>
      <c r="Z10" s="265"/>
      <c r="AA10" s="253"/>
      <c r="AB10" s="92"/>
      <c r="AC10" s="92"/>
      <c r="AD10" s="92"/>
      <c r="AE10" s="92"/>
    </row>
    <row r="11" spans="2:31" x14ac:dyDescent="0.25">
      <c r="W11" s="253" t="s">
        <v>74</v>
      </c>
      <c r="X11" s="92"/>
      <c r="Y11" s="253" t="s">
        <v>460</v>
      </c>
      <c r="Z11" s="253" t="s">
        <v>462</v>
      </c>
      <c r="AA11" s="253" t="s">
        <v>160</v>
      </c>
      <c r="AB11" s="92"/>
      <c r="AC11" s="92"/>
      <c r="AD11" s="92"/>
      <c r="AE11" s="92"/>
    </row>
    <row r="12" spans="2:31" x14ac:dyDescent="0.25">
      <c r="W12" s="253"/>
      <c r="X12" s="92"/>
      <c r="Y12" s="253"/>
      <c r="Z12" s="253"/>
      <c r="AA12" s="253"/>
      <c r="AB12" s="92"/>
      <c r="AC12" s="92"/>
      <c r="AD12" s="92"/>
      <c r="AE12" s="92"/>
    </row>
    <row r="13" spans="2:31" x14ac:dyDescent="0.25">
      <c r="W13" s="253"/>
      <c r="X13" s="92"/>
      <c r="Y13" s="253"/>
      <c r="Z13" s="253"/>
      <c r="AA13" s="253"/>
      <c r="AB13" s="92"/>
      <c r="AC13" s="92"/>
      <c r="AD13" s="92"/>
      <c r="AE13" s="92"/>
    </row>
    <row r="14" spans="2:31" x14ac:dyDescent="0.25">
      <c r="W14" s="253"/>
      <c r="X14" s="92"/>
      <c r="Y14" s="253"/>
      <c r="Z14" s="253"/>
      <c r="AA14" s="253"/>
      <c r="AB14" s="92"/>
      <c r="AC14" s="92"/>
      <c r="AD14" s="92"/>
      <c r="AE14" s="92"/>
    </row>
    <row r="16" spans="2:31" ht="13" x14ac:dyDescent="0.3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3">
      <c r="B17" s="54" t="s">
        <v>1</v>
      </c>
      <c r="C17" s="54" t="s">
        <v>5</v>
      </c>
      <c r="D17" s="54" t="s">
        <v>6</v>
      </c>
      <c r="E17" s="97" t="s">
        <v>463</v>
      </c>
      <c r="F17" s="98" t="s">
        <v>444</v>
      </c>
      <c r="G17" s="98" t="s">
        <v>475</v>
      </c>
      <c r="H17" s="98" t="s">
        <v>476</v>
      </c>
      <c r="I17" s="98" t="s">
        <v>477</v>
      </c>
      <c r="J17" s="98" t="s">
        <v>478</v>
      </c>
      <c r="K17" s="98" t="s">
        <v>479</v>
      </c>
      <c r="L17" s="98" t="s">
        <v>480</v>
      </c>
      <c r="M17" s="97" t="s">
        <v>105</v>
      </c>
      <c r="N17" s="97" t="s">
        <v>106</v>
      </c>
      <c r="O17" s="97" t="s">
        <v>107</v>
      </c>
      <c r="P17" s="97" t="s">
        <v>445</v>
      </c>
      <c r="Q17" s="97" t="s">
        <v>170</v>
      </c>
      <c r="R17" s="97" t="s">
        <v>171</v>
      </c>
      <c r="S17" s="97" t="s">
        <v>161</v>
      </c>
      <c r="T17" s="97" t="s">
        <v>468</v>
      </c>
      <c r="U17" s="254"/>
      <c r="V17" s="254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31" thickBot="1" x14ac:dyDescent="0.3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150</v>
      </c>
      <c r="G18" s="99" t="s">
        <v>150</v>
      </c>
      <c r="H18" s="99" t="s">
        <v>150</v>
      </c>
      <c r="I18" s="99" t="s">
        <v>150</v>
      </c>
      <c r="J18" s="99" t="s">
        <v>150</v>
      </c>
      <c r="K18" s="99" t="s">
        <v>150</v>
      </c>
      <c r="L18" s="99" t="s">
        <v>150</v>
      </c>
      <c r="M18" s="99" t="s">
        <v>109</v>
      </c>
      <c r="N18" s="100" t="s">
        <v>110</v>
      </c>
      <c r="O18" s="99" t="s">
        <v>117</v>
      </c>
      <c r="P18" s="99" t="s">
        <v>446</v>
      </c>
      <c r="Q18" s="99" t="s">
        <v>172</v>
      </c>
      <c r="R18" s="100" t="s">
        <v>173</v>
      </c>
      <c r="S18" s="100" t="s">
        <v>162</v>
      </c>
      <c r="T18" s="100" t="s">
        <v>470</v>
      </c>
      <c r="U18" s="255"/>
      <c r="V18" s="255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1" thickBot="1" x14ac:dyDescent="0.3">
      <c r="B19" s="101" t="s">
        <v>87</v>
      </c>
      <c r="C19" s="101"/>
      <c r="D19" s="101"/>
      <c r="E19" s="102" t="s">
        <v>236</v>
      </c>
      <c r="F19" s="102" t="s">
        <v>385</v>
      </c>
      <c r="G19" s="102"/>
      <c r="H19" s="102"/>
      <c r="I19" s="102"/>
      <c r="J19" s="102"/>
      <c r="K19" s="102"/>
      <c r="L19" s="102"/>
      <c r="M19" s="102" t="s">
        <v>385</v>
      </c>
      <c r="N19" s="103" t="s">
        <v>385</v>
      </c>
      <c r="O19" s="102" t="s">
        <v>111</v>
      </c>
      <c r="P19" s="102"/>
      <c r="Q19" s="102"/>
      <c r="R19" s="103"/>
      <c r="S19" s="103"/>
      <c r="T19" s="103" t="s">
        <v>469</v>
      </c>
      <c r="U19" s="256"/>
      <c r="V19" s="256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5">
      <c r="B20" s="90" t="str">
        <f>Y$20</f>
        <v>Kiln</v>
      </c>
      <c r="C20" s="90" t="str">
        <f>PRI_Sector_Fuels!O5</f>
        <v>MANCOALMIN</v>
      </c>
      <c r="D20" s="92" t="str">
        <f>Y8</f>
        <v>MANHEATCOAL</v>
      </c>
      <c r="E20" s="107">
        <f>PRI_Sector_Fuels!I23/(DemTechs_INDF!M20*DemTechs_INDF!N20*DemTechs_INDF!S20)</f>
        <v>655.3883584705502</v>
      </c>
      <c r="F20" s="104">
        <v>0.59</v>
      </c>
      <c r="G20" s="104"/>
      <c r="H20" s="104"/>
      <c r="I20" s="104"/>
      <c r="J20" s="104"/>
      <c r="K20" s="104"/>
      <c r="L20" s="104"/>
      <c r="M20" s="105">
        <v>0.55000000000000004</v>
      </c>
      <c r="N20" s="105">
        <v>1</v>
      </c>
      <c r="O20" s="130">
        <v>30</v>
      </c>
      <c r="P20" s="130"/>
      <c r="Q20" s="106">
        <v>1515</v>
      </c>
      <c r="R20" s="106"/>
      <c r="S20" s="106">
        <v>8.76</v>
      </c>
      <c r="T20" s="112"/>
      <c r="U20" s="112"/>
      <c r="V20" s="112"/>
      <c r="W20" s="161" t="s">
        <v>461</v>
      </c>
      <c r="Y20" s="90" t="s">
        <v>151</v>
      </c>
      <c r="Z20" s="90" t="s">
        <v>237</v>
      </c>
      <c r="AA20" s="92" t="str">
        <f>$E$2</f>
        <v>GWh</v>
      </c>
      <c r="AB20" s="92" t="s">
        <v>152</v>
      </c>
      <c r="AC20" s="92"/>
      <c r="AD20" s="253"/>
      <c r="AE20" s="92"/>
    </row>
    <row r="21" spans="2:31" x14ac:dyDescent="0.25">
      <c r="B21" s="90" t="str">
        <f>Y$20</f>
        <v>Kiln</v>
      </c>
      <c r="C21" s="90" t="str">
        <f>PRI_Sector_Fuels!O6</f>
        <v>MANCOALIMP</v>
      </c>
      <c r="D21" s="92" t="str">
        <f>Y$8</f>
        <v>MANHEATCOAL</v>
      </c>
      <c r="E21" s="107">
        <f>PRI_Sector_Fuels!I24/(S21*M21*N21)</f>
        <v>937.81652137816502</v>
      </c>
      <c r="F21" s="104">
        <v>0.41</v>
      </c>
      <c r="G21" s="104"/>
      <c r="H21" s="104"/>
      <c r="I21" s="104"/>
      <c r="J21" s="104"/>
      <c r="K21" s="104"/>
      <c r="L21" s="104"/>
      <c r="M21" s="105">
        <v>0.55000000000000004</v>
      </c>
      <c r="N21" s="105">
        <v>1</v>
      </c>
      <c r="O21" s="130">
        <v>30</v>
      </c>
      <c r="P21" s="130"/>
      <c r="Q21" s="106">
        <v>1515</v>
      </c>
      <c r="R21" s="106"/>
      <c r="S21" s="106">
        <v>8.76</v>
      </c>
      <c r="T21" s="112"/>
      <c r="U21" s="112"/>
      <c r="V21" s="112"/>
      <c r="W21" s="161" t="s">
        <v>461</v>
      </c>
      <c r="Y21" s="90" t="s">
        <v>153</v>
      </c>
      <c r="Z21" s="90" t="s">
        <v>154</v>
      </c>
      <c r="AA21" s="92" t="str">
        <f>$E$2</f>
        <v>GWh</v>
      </c>
      <c r="AB21" s="92" t="s">
        <v>152</v>
      </c>
      <c r="AC21" s="92"/>
      <c r="AD21" s="253"/>
      <c r="AE21" s="92"/>
    </row>
    <row r="22" spans="2:31" ht="13" x14ac:dyDescent="0.3">
      <c r="B22" s="90" t="str">
        <f>Y$21</f>
        <v>Boiler</v>
      </c>
      <c r="C22" s="90" t="str">
        <f>PRI_Sector_Fuels!O7</f>
        <v>MANOILIMP</v>
      </c>
      <c r="D22" s="92" t="str">
        <f>Y$5</f>
        <v>MANHEATOIL</v>
      </c>
      <c r="E22" s="107">
        <f>PRI_Sector_Fuels!I25/(S22*M22*N22)</f>
        <v>371.73515981735164</v>
      </c>
      <c r="F22" s="104">
        <v>1</v>
      </c>
      <c r="G22" s="104"/>
      <c r="H22" s="104"/>
      <c r="I22" s="104"/>
      <c r="J22" s="104"/>
      <c r="K22" s="104"/>
      <c r="L22" s="104"/>
      <c r="M22" s="105">
        <v>0.8</v>
      </c>
      <c r="N22" s="107">
        <v>1</v>
      </c>
      <c r="O22" s="106">
        <v>30</v>
      </c>
      <c r="P22" s="130"/>
      <c r="Q22" s="106">
        <v>1212</v>
      </c>
      <c r="R22" s="106"/>
      <c r="S22" s="106">
        <v>8.76</v>
      </c>
      <c r="T22" s="112"/>
      <c r="U22" s="112"/>
      <c r="V22" s="112"/>
      <c r="W22" s="161" t="s">
        <v>46</v>
      </c>
      <c r="Y22" s="161" t="s">
        <v>474</v>
      </c>
      <c r="Z22" s="90" t="s">
        <v>241</v>
      </c>
      <c r="AA22" s="90" t="s">
        <v>160</v>
      </c>
      <c r="AB22" s="90" t="s">
        <v>152</v>
      </c>
      <c r="AC22" s="167" t="s">
        <v>247</v>
      </c>
    </row>
    <row r="23" spans="2:31" s="157" customFormat="1" ht="13" x14ac:dyDescent="0.3">
      <c r="B23" s="157" t="str">
        <f>Y22</f>
        <v>PELC</v>
      </c>
      <c r="C23" s="96" t="str">
        <f>PRI_Sector_Fuels!O8</f>
        <v>ELC</v>
      </c>
      <c r="D23" s="92" t="str">
        <f>Y6</f>
        <v>MANELC</v>
      </c>
      <c r="E23" s="107">
        <f>PRI_Sector_Fuels!I26/S23*M23</f>
        <v>326.66221144089292</v>
      </c>
      <c r="F23" s="160">
        <v>1</v>
      </c>
      <c r="G23" s="160"/>
      <c r="H23" s="160"/>
      <c r="I23" s="160"/>
      <c r="J23" s="160"/>
      <c r="K23" s="160"/>
      <c r="L23" s="160"/>
      <c r="M23" s="157">
        <v>1</v>
      </c>
      <c r="N23" s="157">
        <v>1</v>
      </c>
      <c r="O23" s="157">
        <v>50</v>
      </c>
      <c r="Q23" s="157">
        <v>1111</v>
      </c>
      <c r="S23" s="157">
        <v>8.76</v>
      </c>
      <c r="W23" s="157" t="s">
        <v>461</v>
      </c>
      <c r="Y23" s="157" t="s">
        <v>460</v>
      </c>
      <c r="Z23" s="157" t="s">
        <v>459</v>
      </c>
      <c r="AA23" s="96" t="s">
        <v>160</v>
      </c>
      <c r="AB23" s="96" t="s">
        <v>152</v>
      </c>
      <c r="AC23" s="168"/>
    </row>
    <row r="24" spans="2:31" s="157" customFormat="1" x14ac:dyDescent="0.25">
      <c r="B24" s="96" t="str">
        <f>Y23</f>
        <v>PHEAT</v>
      </c>
      <c r="C24" s="158" t="str">
        <f>Y8</f>
        <v>MANHEATCOAL</v>
      </c>
      <c r="D24" s="92" t="str">
        <f>Y9</f>
        <v>MANHEAT</v>
      </c>
      <c r="E24" s="159"/>
      <c r="F24" s="160">
        <f>O33</f>
        <v>0.74661277027941986</v>
      </c>
      <c r="G24" s="160"/>
      <c r="H24" s="160"/>
      <c r="I24" s="160"/>
      <c r="J24" s="160"/>
      <c r="K24" s="160"/>
      <c r="L24" s="160"/>
      <c r="M24" s="157">
        <v>1</v>
      </c>
      <c r="N24" s="157">
        <v>1</v>
      </c>
      <c r="O24" s="157">
        <v>50</v>
      </c>
      <c r="Q24" s="157">
        <v>0</v>
      </c>
      <c r="S24" s="157">
        <v>8.76</v>
      </c>
      <c r="AA24" s="96"/>
      <c r="AB24" s="96"/>
    </row>
    <row r="25" spans="2:31" s="157" customFormat="1" x14ac:dyDescent="0.25">
      <c r="B25" s="96" t="str">
        <f>Y23</f>
        <v>PHEAT</v>
      </c>
      <c r="C25" s="158" t="str">
        <f>Y5</f>
        <v>MANHEATOIL</v>
      </c>
      <c r="D25" s="92" t="str">
        <f>Y9</f>
        <v>MANHEAT</v>
      </c>
      <c r="E25" s="159"/>
      <c r="F25" s="160">
        <f>O34</f>
        <v>0.25338722972058014</v>
      </c>
      <c r="G25" s="160"/>
      <c r="H25" s="160"/>
      <c r="I25" s="160"/>
      <c r="J25" s="160"/>
      <c r="K25" s="160"/>
      <c r="L25" s="160"/>
      <c r="M25" s="157">
        <v>1</v>
      </c>
      <c r="N25" s="157">
        <v>1</v>
      </c>
      <c r="O25" s="157">
        <v>50</v>
      </c>
      <c r="Q25" s="157">
        <v>0</v>
      </c>
      <c r="S25" s="157">
        <v>8.76</v>
      </c>
      <c r="AA25" s="96"/>
      <c r="AB25" s="96"/>
    </row>
    <row r="26" spans="2:31" s="157" customFormat="1" x14ac:dyDescent="0.25">
      <c r="B26" s="96" t="s">
        <v>151</v>
      </c>
      <c r="C26" s="158" t="s">
        <v>471</v>
      </c>
      <c r="D26" s="158" t="str">
        <f>Y7</f>
        <v>MANCO2</v>
      </c>
      <c r="E26" s="159"/>
      <c r="F26" s="160"/>
      <c r="G26" s="160"/>
      <c r="H26" s="160"/>
      <c r="I26" s="160"/>
      <c r="J26" s="160"/>
      <c r="K26" s="160"/>
      <c r="L26" s="160"/>
      <c r="T26" s="309">
        <f>Emi!C9</f>
        <v>0.34100000000000003</v>
      </c>
      <c r="W26" s="266"/>
      <c r="X26" s="266"/>
      <c r="Y26" s="266"/>
      <c r="Z26" s="266"/>
      <c r="AA26" s="96"/>
      <c r="AB26" s="96"/>
    </row>
    <row r="27" spans="2:31" s="157" customFormat="1" x14ac:dyDescent="0.25">
      <c r="B27" s="96" t="s">
        <v>151</v>
      </c>
      <c r="C27" s="158" t="s">
        <v>472</v>
      </c>
      <c r="D27" s="158" t="str">
        <f>Y7</f>
        <v>MANCO2</v>
      </c>
      <c r="E27" s="159"/>
      <c r="F27" s="160"/>
      <c r="G27" s="160"/>
      <c r="H27" s="160"/>
      <c r="I27" s="160"/>
      <c r="J27" s="160"/>
      <c r="K27" s="160"/>
      <c r="L27" s="160"/>
      <c r="T27" s="309">
        <f>Emi!C9</f>
        <v>0.34100000000000003</v>
      </c>
      <c r="AB27" s="96"/>
    </row>
    <row r="28" spans="2:31" s="112" customFormat="1" x14ac:dyDescent="0.25">
      <c r="B28" s="161" t="s">
        <v>153</v>
      </c>
      <c r="C28" s="253" t="s">
        <v>473</v>
      </c>
      <c r="D28" s="92" t="str">
        <f>Y7</f>
        <v>MANCO2</v>
      </c>
      <c r="E28" s="159"/>
      <c r="F28" s="160"/>
      <c r="G28" s="160"/>
      <c r="H28" s="160"/>
      <c r="I28" s="160"/>
      <c r="J28" s="160"/>
      <c r="K28" s="160"/>
      <c r="L28" s="160"/>
      <c r="M28" s="157"/>
      <c r="N28" s="157"/>
      <c r="O28" s="157"/>
      <c r="P28" s="157"/>
      <c r="Q28" s="157"/>
      <c r="T28" s="310">
        <f>Emi!E9</f>
        <v>0.25900000000000001</v>
      </c>
    </row>
    <row r="29" spans="2:31" s="112" customFormat="1" x14ac:dyDescent="0.25">
      <c r="B29" s="161"/>
      <c r="C29" s="253"/>
      <c r="D29" s="92"/>
      <c r="E29" s="159"/>
      <c r="F29" s="160"/>
      <c r="G29" s="160"/>
      <c r="H29" s="160"/>
      <c r="I29" s="160"/>
      <c r="J29" s="160"/>
      <c r="K29" s="160"/>
      <c r="L29" s="160"/>
      <c r="M29" s="157"/>
      <c r="N29" s="157"/>
      <c r="O29" s="157"/>
      <c r="P29" s="157"/>
      <c r="Q29" s="157"/>
      <c r="T29" s="310"/>
    </row>
    <row r="30" spans="2:31" x14ac:dyDescent="0.25">
      <c r="B30" s="161"/>
      <c r="C30" s="92"/>
      <c r="D30" s="92"/>
      <c r="E30" s="159"/>
      <c r="F30" s="160"/>
      <c r="G30" s="160"/>
      <c r="H30" s="160"/>
      <c r="I30" s="160"/>
      <c r="J30" s="160"/>
      <c r="K30" s="160"/>
      <c r="L30" s="160"/>
      <c r="M30" s="157"/>
      <c r="N30" s="157"/>
      <c r="O30" s="157"/>
      <c r="P30" s="157"/>
      <c r="Q30" s="157"/>
    </row>
    <row r="31" spans="2:31" x14ac:dyDescent="0.25">
      <c r="B31" s="161"/>
      <c r="C31" s="92"/>
      <c r="D31" s="158"/>
      <c r="E31" s="159"/>
      <c r="F31" s="160"/>
      <c r="G31" s="160"/>
      <c r="H31" s="160"/>
      <c r="I31" s="160"/>
      <c r="J31" s="160"/>
      <c r="K31" s="160"/>
      <c r="L31" s="160"/>
      <c r="M31" s="157">
        <v>2022</v>
      </c>
      <c r="N31" s="157">
        <v>2022</v>
      </c>
      <c r="O31" s="157">
        <v>2022</v>
      </c>
      <c r="P31" s="157"/>
      <c r="Q31" s="157" t="s">
        <v>467</v>
      </c>
    </row>
    <row r="32" spans="2:31" ht="13" x14ac:dyDescent="0.3">
      <c r="E32" s="161" t="s">
        <v>464</v>
      </c>
      <c r="F32" s="108"/>
      <c r="G32" s="108"/>
      <c r="H32" s="108"/>
      <c r="I32" s="108"/>
      <c r="J32" s="108"/>
      <c r="K32" s="108"/>
      <c r="L32" s="108"/>
      <c r="M32" s="90">
        <f>E20*M20*N20*S20</f>
        <v>3157.661111111111</v>
      </c>
      <c r="N32" s="264">
        <f>M32/(M32+M33)</f>
        <v>0.41136476969163155</v>
      </c>
      <c r="Q32" s="264">
        <f>M32/M$36</f>
        <v>0.24025892702523827</v>
      </c>
      <c r="AA32" s="92"/>
      <c r="AB32" s="92"/>
      <c r="AC32" s="167"/>
    </row>
    <row r="33" spans="2:28" x14ac:dyDescent="0.25">
      <c r="E33" s="161" t="s">
        <v>465</v>
      </c>
      <c r="F33" s="108"/>
      <c r="G33" s="108"/>
      <c r="H33" s="108"/>
      <c r="I33" s="108"/>
      <c r="J33" s="108"/>
      <c r="K33" s="108"/>
      <c r="L33" s="108"/>
      <c r="M33" s="90">
        <f>E21*M21*N21*S21</f>
        <v>4518.3999999999996</v>
      </c>
      <c r="N33" s="264">
        <f>M33/(M32+M33)</f>
        <v>0.58863523030836851</v>
      </c>
      <c r="O33" s="90">
        <f>(M32+M33)/(M32+M33+M34)</f>
        <v>0.74661277027941986</v>
      </c>
      <c r="P33" s="90">
        <f>M32+M33</f>
        <v>7676.0611111111102</v>
      </c>
      <c r="Q33" s="264">
        <f t="shared" ref="Q33:Q35" si="0">M33/M$36</f>
        <v>0.34379431410511396</v>
      </c>
      <c r="X33" s="112"/>
      <c r="Z33" s="112"/>
      <c r="AA33" s="113"/>
      <c r="AB33" s="113"/>
    </row>
    <row r="34" spans="2:28" x14ac:dyDescent="0.25">
      <c r="E34" s="161" t="s">
        <v>45</v>
      </c>
      <c r="F34" s="108"/>
      <c r="G34" s="108"/>
      <c r="H34" s="108"/>
      <c r="I34" s="108"/>
      <c r="J34" s="108"/>
      <c r="K34" s="108"/>
      <c r="L34" s="108"/>
      <c r="M34" s="90">
        <f>E22*M22*N22*S22</f>
        <v>2605.1200000000003</v>
      </c>
      <c r="N34" s="109">
        <f>M34/M34</f>
        <v>1</v>
      </c>
      <c r="O34" s="90">
        <f>1-O33</f>
        <v>0.25338722972058014</v>
      </c>
      <c r="Q34" s="264">
        <f t="shared" si="0"/>
        <v>0.19821738747377715</v>
      </c>
    </row>
    <row r="35" spans="2:28" x14ac:dyDescent="0.25">
      <c r="E35" s="161" t="s">
        <v>46</v>
      </c>
      <c r="M35" s="90">
        <f>E23*M23*N23*S23</f>
        <v>2861.5609722222221</v>
      </c>
      <c r="N35" s="109">
        <f>M35/M35</f>
        <v>1</v>
      </c>
      <c r="O35" s="108">
        <f>N35</f>
        <v>1</v>
      </c>
      <c r="Q35" s="264">
        <f t="shared" si="0"/>
        <v>0.21772937139587065</v>
      </c>
    </row>
    <row r="36" spans="2:28" x14ac:dyDescent="0.25">
      <c r="B36" s="106"/>
      <c r="C36" s="90" t="s">
        <v>98</v>
      </c>
      <c r="M36" s="90">
        <f>SUM(M32:M35)</f>
        <v>13142.742083333333</v>
      </c>
      <c r="N36" s="109"/>
      <c r="Q36" s="90">
        <f>SUM(Q32:Q35)</f>
        <v>1</v>
      </c>
    </row>
    <row r="37" spans="2:28" x14ac:dyDescent="0.25">
      <c r="B37" s="110"/>
      <c r="C37" s="90" t="s">
        <v>99</v>
      </c>
      <c r="N37" s="109"/>
    </row>
    <row r="38" spans="2:28" x14ac:dyDescent="0.25">
      <c r="E38" s="90" t="s">
        <v>233</v>
      </c>
      <c r="F38" s="90" t="s">
        <v>235</v>
      </c>
      <c r="N38" s="109"/>
    </row>
    <row r="40" spans="2:28" x14ac:dyDescent="0.25">
      <c r="E40" s="90" t="s">
        <v>234</v>
      </c>
      <c r="F40" s="90">
        <f>24*365</f>
        <v>8760</v>
      </c>
    </row>
    <row r="41" spans="2:28" x14ac:dyDescent="0.25">
      <c r="E41" s="21"/>
      <c r="M41" s="90">
        <f>M32+M33+M34</f>
        <v>10281.181111111111</v>
      </c>
    </row>
  </sheetData>
  <phoneticPr fontId="29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6" zoomScale="226" zoomScaleNormal="226" workbookViewId="0">
      <selection activeCell="E23" sqref="E23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174</v>
      </c>
      <c r="C6" s="116" t="s">
        <v>0</v>
      </c>
      <c r="D6" s="116" t="s">
        <v>175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176</v>
      </c>
      <c r="D7" s="119" t="s">
        <v>177</v>
      </c>
      <c r="E7" s="119" t="s">
        <v>178</v>
      </c>
      <c r="F7" s="119" t="s">
        <v>178</v>
      </c>
      <c r="G7" s="119" t="s">
        <v>178</v>
      </c>
      <c r="H7" s="119" t="s">
        <v>178</v>
      </c>
      <c r="I7" s="119" t="s">
        <v>178</v>
      </c>
      <c r="J7" s="119" t="s">
        <v>178</v>
      </c>
      <c r="K7" s="119" t="s">
        <v>178</v>
      </c>
      <c r="L7" s="146"/>
      <c r="M7" s="148" t="s">
        <v>246</v>
      </c>
      <c r="N7" s="124"/>
      <c r="O7" s="116" t="s">
        <v>174</v>
      </c>
      <c r="P7" s="116" t="s">
        <v>0</v>
      </c>
      <c r="Q7" s="116" t="s">
        <v>180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160</v>
      </c>
      <c r="F8" s="118" t="s">
        <v>160</v>
      </c>
      <c r="G8" s="118" t="s">
        <v>160</v>
      </c>
      <c r="H8" s="118" t="s">
        <v>160</v>
      </c>
      <c r="I8" s="118" t="s">
        <v>160</v>
      </c>
      <c r="J8" s="118" t="s">
        <v>160</v>
      </c>
      <c r="K8" s="118" t="s">
        <v>160</v>
      </c>
      <c r="L8" s="146"/>
      <c r="M8" s="148"/>
      <c r="N8" s="124"/>
      <c r="O8" s="126" t="s">
        <v>81</v>
      </c>
      <c r="P8" s="126" t="s">
        <v>176</v>
      </c>
      <c r="Q8" s="126"/>
      <c r="R8" s="126"/>
    </row>
    <row r="9" spans="2:18" s="20" customFormat="1" ht="14.5" thickBot="1" x14ac:dyDescent="0.35">
      <c r="B9" s="280" t="s">
        <v>179</v>
      </c>
      <c r="C9" s="280" t="s">
        <v>457</v>
      </c>
      <c r="D9" s="280" t="s">
        <v>160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179</v>
      </c>
      <c r="C10" s="280" t="str">
        <f>C13</f>
        <v>MANELC</v>
      </c>
      <c r="D10" s="280" t="s">
        <v>160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181</v>
      </c>
      <c r="P10" s="1" t="str">
        <f>DemTechs_INDF!Y$6</f>
        <v>MANELC</v>
      </c>
      <c r="Q10" s="90" t="s">
        <v>182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181</v>
      </c>
      <c r="P11" s="284" t="str">
        <f>DemTechs_INDF!Y$6</f>
        <v>MANELC</v>
      </c>
      <c r="Q11" s="112" t="s">
        <v>183</v>
      </c>
      <c r="R11" s="285">
        <v>0.25</v>
      </c>
    </row>
    <row r="12" spans="2:18" ht="13" thickBot="1" x14ac:dyDescent="0.3">
      <c r="B12" s="120" t="s">
        <v>179</v>
      </c>
      <c r="C12" s="120" t="str">
        <f>DemTechs_INDF!Y5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181</v>
      </c>
      <c r="P12" s="1" t="str">
        <f>DemTechs_INDF!Y$6</f>
        <v>MANELC</v>
      </c>
      <c r="Q12" s="90" t="s">
        <v>184</v>
      </c>
      <c r="R12" s="127">
        <v>1.0416666666666666E-2</v>
      </c>
    </row>
    <row r="13" spans="2:18" ht="13" thickBot="1" x14ac:dyDescent="0.3">
      <c r="B13" s="120" t="s">
        <v>179</v>
      </c>
      <c r="C13" s="120" t="str">
        <f>DemTechs_INDF!Y6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181</v>
      </c>
      <c r="P13" s="1" t="str">
        <f>DemTechs_INDF!Y$6</f>
        <v>MANELC</v>
      </c>
      <c r="Q13" s="128" t="s">
        <v>185</v>
      </c>
      <c r="R13" s="129">
        <v>1.0416666666666666E-2</v>
      </c>
    </row>
    <row r="14" spans="2:18" ht="13" thickBot="1" x14ac:dyDescent="0.3">
      <c r="B14" s="139" t="s">
        <v>179</v>
      </c>
      <c r="C14" s="120" t="str">
        <f>DemTechs_INDF!Y8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181</v>
      </c>
      <c r="P14" s="1" t="str">
        <f>DemTechs_INDF!Y$6</f>
        <v>MANELC</v>
      </c>
      <c r="Q14" t="s">
        <v>186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181</v>
      </c>
      <c r="P15" s="1" t="str">
        <f>DemTechs_INDF!Y$6</f>
        <v>MANELC</v>
      </c>
      <c r="Q15" t="s">
        <v>187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181</v>
      </c>
      <c r="P16" s="1" t="str">
        <f>DemTechs_INDF!Y$6</f>
        <v>MANELC</v>
      </c>
      <c r="Q16" t="s">
        <v>188</v>
      </c>
      <c r="R16" s="127">
        <v>1.0416666666666666E-2</v>
      </c>
    </row>
    <row r="17" spans="2:18" x14ac:dyDescent="0.25">
      <c r="B17" s="120"/>
      <c r="C17" s="120"/>
      <c r="D17" s="139" t="s">
        <v>245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181</v>
      </c>
      <c r="P17" s="1" t="str">
        <f>DemTechs_INDF!Y$6</f>
        <v>MANELC</v>
      </c>
      <c r="Q17" t="s">
        <v>189</v>
      </c>
      <c r="R17" s="129">
        <v>1.0416666666666666E-2</v>
      </c>
    </row>
    <row r="18" spans="2:18" x14ac:dyDescent="0.25">
      <c r="B18" s="1"/>
      <c r="D18" t="s">
        <v>452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181</v>
      </c>
      <c r="P18" s="1" t="str">
        <f>DemTechs_INDF!Y$6</f>
        <v>MANELC</v>
      </c>
      <c r="Q18" t="s">
        <v>190</v>
      </c>
      <c r="R18" s="127">
        <v>1.0416666666666666E-2</v>
      </c>
    </row>
    <row r="19" spans="2:18" x14ac:dyDescent="0.25">
      <c r="D19" t="s">
        <v>451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181</v>
      </c>
      <c r="P19" s="1" t="str">
        <f>DemTechs_INDF!Y$6</f>
        <v>MANELC</v>
      </c>
      <c r="Q19" t="s">
        <v>191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181</v>
      </c>
      <c r="P20" s="1" t="str">
        <f>DemTechs_INDF!Y$6</f>
        <v>MANELC</v>
      </c>
      <c r="Q20" t="s">
        <v>192</v>
      </c>
      <c r="R20" s="127">
        <v>1.0416666666666666E-2</v>
      </c>
    </row>
    <row r="21" spans="2:18" x14ac:dyDescent="0.25">
      <c r="E21" s="5"/>
      <c r="O21" s="1" t="s">
        <v>181</v>
      </c>
      <c r="P21" s="1" t="str">
        <f>DemTechs_INDF!Y$6</f>
        <v>MANELC</v>
      </c>
      <c r="Q21" t="s">
        <v>193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181</v>
      </c>
      <c r="P22" s="1" t="str">
        <f>DemTechs_INDF!Y$6</f>
        <v>MANELC</v>
      </c>
      <c r="Q22" t="s">
        <v>194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181</v>
      </c>
      <c r="P23" s="1" t="str">
        <f>DemTechs_INDF!Y$6</f>
        <v>MANELC</v>
      </c>
      <c r="Q23" t="s">
        <v>195</v>
      </c>
      <c r="R23" s="127">
        <v>1.0416666666666666E-2</v>
      </c>
    </row>
    <row r="24" spans="2:18" x14ac:dyDescent="0.25">
      <c r="O24" s="1" t="s">
        <v>181</v>
      </c>
      <c r="P24" s="1" t="str">
        <f>DemTechs_INDF!Y$6</f>
        <v>MANELC</v>
      </c>
      <c r="Q24" t="s">
        <v>196</v>
      </c>
      <c r="R24" s="127">
        <v>1.0416666666666666E-2</v>
      </c>
    </row>
    <row r="25" spans="2:18" x14ac:dyDescent="0.25">
      <c r="O25" s="1" t="s">
        <v>181</v>
      </c>
      <c r="P25" s="1" t="str">
        <f>DemTechs_INDF!Y$6</f>
        <v>MANELC</v>
      </c>
      <c r="Q25" t="s">
        <v>197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181</v>
      </c>
      <c r="P26" s="1" t="str">
        <f>DemTechs_INDF!Y$6</f>
        <v>MANELC</v>
      </c>
      <c r="Q26" t="s">
        <v>198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181</v>
      </c>
      <c r="P27" s="1" t="str">
        <f>DemTechs_INDF!Y$6</f>
        <v>MANELC</v>
      </c>
      <c r="Q27" t="s">
        <v>199</v>
      </c>
      <c r="R27" s="127">
        <v>1.0416666666666666E-2</v>
      </c>
    </row>
    <row r="28" spans="2:18" x14ac:dyDescent="0.25">
      <c r="O28" s="1" t="s">
        <v>181</v>
      </c>
      <c r="P28" s="1" t="str">
        <f>DemTechs_INDF!Y$6</f>
        <v>MANELC</v>
      </c>
      <c r="Q28" t="s">
        <v>200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181</v>
      </c>
      <c r="P29" s="1" t="str">
        <f>DemTechs_INDF!Y$6</f>
        <v>MANELC</v>
      </c>
      <c r="Q29" t="s">
        <v>201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181</v>
      </c>
      <c r="P30" s="1" t="str">
        <f>DemTechs_INDF!Y$6</f>
        <v>MANELC</v>
      </c>
      <c r="Q30" t="s">
        <v>202</v>
      </c>
      <c r="R30" s="127">
        <v>1.0416666666666666E-2</v>
      </c>
    </row>
    <row r="31" spans="2:18" x14ac:dyDescent="0.25">
      <c r="O31" s="1" t="s">
        <v>181</v>
      </c>
      <c r="P31" s="1" t="str">
        <f>DemTechs_INDF!Y$6</f>
        <v>MANELC</v>
      </c>
      <c r="Q31" t="s">
        <v>203</v>
      </c>
      <c r="R31" s="127">
        <v>1.0416666666666666E-2</v>
      </c>
    </row>
    <row r="32" spans="2:18" x14ac:dyDescent="0.25">
      <c r="O32" s="1" t="s">
        <v>181</v>
      </c>
      <c r="P32" s="1" t="str">
        <f>DemTechs_INDF!Y$6</f>
        <v>MANELC</v>
      </c>
      <c r="Q32" t="s">
        <v>204</v>
      </c>
      <c r="R32" s="127">
        <v>1.0416666666666666E-2</v>
      </c>
    </row>
    <row r="33" spans="15:18" x14ac:dyDescent="0.25">
      <c r="O33" s="1" t="s">
        <v>181</v>
      </c>
      <c r="P33" s="1" t="str">
        <f>DemTechs_INDF!Y$6</f>
        <v>MANELC</v>
      </c>
      <c r="Q33" t="s">
        <v>205</v>
      </c>
      <c r="R33" s="129">
        <v>1.0416666666666666E-2</v>
      </c>
    </row>
    <row r="34" spans="15:18" x14ac:dyDescent="0.25">
      <c r="O34" s="1" t="s">
        <v>181</v>
      </c>
      <c r="P34" s="1" t="str">
        <f>DemTechs_INDF!Y$6</f>
        <v>MANELC</v>
      </c>
      <c r="Q34" t="s">
        <v>206</v>
      </c>
      <c r="R34" s="127">
        <v>1.0416666666666666E-2</v>
      </c>
    </row>
    <row r="35" spans="15:18" x14ac:dyDescent="0.25">
      <c r="O35" s="1" t="s">
        <v>181</v>
      </c>
      <c r="P35" s="1" t="str">
        <f>DemTechs_INDF!Y$6</f>
        <v>MANELC</v>
      </c>
      <c r="Q35" t="s">
        <v>207</v>
      </c>
      <c r="R35" s="127">
        <v>1.0416666666666666E-2</v>
      </c>
    </row>
    <row r="36" spans="15:18" x14ac:dyDescent="0.25">
      <c r="O36" s="1" t="s">
        <v>181</v>
      </c>
      <c r="P36" s="1" t="str">
        <f>DemTechs_INDF!Y$6</f>
        <v>MANELC</v>
      </c>
      <c r="Q36" t="s">
        <v>208</v>
      </c>
      <c r="R36" s="127">
        <v>3.125E-2</v>
      </c>
    </row>
    <row r="37" spans="15:18" x14ac:dyDescent="0.25">
      <c r="O37" s="1" t="s">
        <v>181</v>
      </c>
      <c r="P37" s="1" t="str">
        <f>DemTechs_INDF!Y$6</f>
        <v>MANELC</v>
      </c>
      <c r="Q37" t="s">
        <v>209</v>
      </c>
      <c r="R37" s="129">
        <v>3.125E-2</v>
      </c>
    </row>
    <row r="38" spans="15:18" x14ac:dyDescent="0.25">
      <c r="O38" s="1" t="s">
        <v>181</v>
      </c>
      <c r="P38" s="1" t="str">
        <f>DemTechs_INDF!Y$6</f>
        <v>MANELC</v>
      </c>
      <c r="Q38" t="s">
        <v>210</v>
      </c>
      <c r="R38" s="127">
        <v>3.125E-2</v>
      </c>
    </row>
    <row r="39" spans="15:18" x14ac:dyDescent="0.25">
      <c r="O39" s="1" t="s">
        <v>181</v>
      </c>
      <c r="P39" s="1" t="str">
        <f>DemTechs_INDF!Y$6</f>
        <v>MANELC</v>
      </c>
      <c r="Q39" t="s">
        <v>211</v>
      </c>
      <c r="R39" s="127">
        <v>3.125E-2</v>
      </c>
    </row>
    <row r="40" spans="15:18" x14ac:dyDescent="0.25">
      <c r="O40" s="1" t="s">
        <v>181</v>
      </c>
      <c r="P40" s="1" t="str">
        <f>DemTechs_INDF!Y$6</f>
        <v>MANELC</v>
      </c>
      <c r="Q40" t="s">
        <v>212</v>
      </c>
      <c r="R40" s="127">
        <v>3.125E-2</v>
      </c>
    </row>
    <row r="41" spans="15:18" x14ac:dyDescent="0.25">
      <c r="O41" s="1" t="s">
        <v>181</v>
      </c>
      <c r="P41" s="1" t="str">
        <f>DemTechs_INDF!Y$6</f>
        <v>MANELC</v>
      </c>
      <c r="Q41" t="s">
        <v>213</v>
      </c>
      <c r="R41" s="129">
        <v>3.125E-2</v>
      </c>
    </row>
    <row r="42" spans="15:18" x14ac:dyDescent="0.25">
      <c r="O42" s="1" t="s">
        <v>181</v>
      </c>
      <c r="P42" s="1" t="str">
        <f>DemTechs_INDF!Y$6</f>
        <v>MANELC</v>
      </c>
      <c r="Q42" t="s">
        <v>214</v>
      </c>
      <c r="R42" s="127">
        <v>3.125E-2</v>
      </c>
    </row>
    <row r="43" spans="15:18" x14ac:dyDescent="0.25">
      <c r="O43" s="1" t="s">
        <v>181</v>
      </c>
      <c r="P43" s="1" t="str">
        <f>DemTechs_INDF!Y$6</f>
        <v>MANELC</v>
      </c>
      <c r="Q43" t="s">
        <v>215</v>
      </c>
      <c r="R43" s="127">
        <v>3.125E-2</v>
      </c>
    </row>
    <row r="44" spans="15:18" x14ac:dyDescent="0.25">
      <c r="O44" s="1" t="s">
        <v>181</v>
      </c>
      <c r="P44" s="1" t="str">
        <f>DemTechs_INDF!Y$6</f>
        <v>MANELC</v>
      </c>
      <c r="Q44" t="s">
        <v>216</v>
      </c>
      <c r="R44" s="127">
        <v>3.125E-2</v>
      </c>
    </row>
    <row r="45" spans="15:18" x14ac:dyDescent="0.25">
      <c r="O45" s="1" t="s">
        <v>181</v>
      </c>
      <c r="P45" s="1" t="str">
        <f>DemTechs_INDF!Y$6</f>
        <v>MANELC</v>
      </c>
      <c r="Q45" t="s">
        <v>217</v>
      </c>
      <c r="R45" s="129">
        <v>3.125E-2</v>
      </c>
    </row>
    <row r="46" spans="15:18" x14ac:dyDescent="0.25">
      <c r="O46" s="1" t="s">
        <v>181</v>
      </c>
      <c r="P46" s="1" t="str">
        <f>DemTechs_INDF!Y$6</f>
        <v>MANELC</v>
      </c>
      <c r="Q46" t="s">
        <v>218</v>
      </c>
      <c r="R46" s="127">
        <v>3.125E-2</v>
      </c>
    </row>
    <row r="47" spans="15:18" x14ac:dyDescent="0.25">
      <c r="O47" s="1" t="s">
        <v>181</v>
      </c>
      <c r="P47" s="1" t="str">
        <f>DemTechs_INDF!Y$6</f>
        <v>MANELC</v>
      </c>
      <c r="Q47" t="s">
        <v>219</v>
      </c>
      <c r="R47" s="127">
        <v>3.125E-2</v>
      </c>
    </row>
    <row r="48" spans="15:18" x14ac:dyDescent="0.25">
      <c r="O48" s="1" t="s">
        <v>181</v>
      </c>
      <c r="P48" s="1" t="str">
        <f>DemTechs_INDF!Y$6</f>
        <v>MANELC</v>
      </c>
      <c r="Q48" t="s">
        <v>220</v>
      </c>
      <c r="R48" s="127">
        <v>3.125E-2</v>
      </c>
    </row>
    <row r="49" spans="15:18" x14ac:dyDescent="0.25">
      <c r="O49" s="1" t="s">
        <v>181</v>
      </c>
      <c r="P49" s="1" t="str">
        <f>DemTechs_INDF!Y$6</f>
        <v>MANELC</v>
      </c>
      <c r="Q49" t="s">
        <v>221</v>
      </c>
      <c r="R49" s="129">
        <v>3.125E-2</v>
      </c>
    </row>
    <row r="50" spans="15:18" x14ac:dyDescent="0.25">
      <c r="O50" s="1" t="s">
        <v>181</v>
      </c>
      <c r="P50" s="1" t="str">
        <f>DemTechs_INDF!Y$6</f>
        <v>MANELC</v>
      </c>
      <c r="Q50" t="s">
        <v>222</v>
      </c>
      <c r="R50" s="127">
        <v>3.125E-2</v>
      </c>
    </row>
    <row r="51" spans="15:18" x14ac:dyDescent="0.25">
      <c r="O51" s="1" t="s">
        <v>181</v>
      </c>
      <c r="P51" s="1" t="str">
        <f>DemTechs_INDF!Y$6</f>
        <v>MANELC</v>
      </c>
      <c r="Q51" t="s">
        <v>223</v>
      </c>
      <c r="R51" s="127">
        <v>3.125E-2</v>
      </c>
    </row>
    <row r="52" spans="15:18" x14ac:dyDescent="0.25">
      <c r="O52" s="1" t="s">
        <v>181</v>
      </c>
      <c r="P52" s="1" t="str">
        <f>DemTechs_INDF!Y$6</f>
        <v>MANELC</v>
      </c>
      <c r="Q52" t="s">
        <v>224</v>
      </c>
      <c r="R52" s="127">
        <v>3.125E-2</v>
      </c>
    </row>
    <row r="53" spans="15:18" x14ac:dyDescent="0.25">
      <c r="O53" s="1" t="s">
        <v>181</v>
      </c>
      <c r="P53" s="1" t="str">
        <f>DemTechs_INDF!Y$6</f>
        <v>MANELC</v>
      </c>
      <c r="Q53" t="s">
        <v>225</v>
      </c>
      <c r="R53" s="129">
        <v>3.125E-2</v>
      </c>
    </row>
    <row r="54" spans="15:18" x14ac:dyDescent="0.25">
      <c r="O54" s="1" t="s">
        <v>181</v>
      </c>
      <c r="P54" s="1" t="str">
        <f>DemTechs_INDF!Y$6</f>
        <v>MANELC</v>
      </c>
      <c r="Q54" t="s">
        <v>226</v>
      </c>
      <c r="R54" s="127">
        <v>3.125E-2</v>
      </c>
    </row>
    <row r="55" spans="15:18" x14ac:dyDescent="0.25">
      <c r="O55" s="1" t="s">
        <v>181</v>
      </c>
      <c r="P55" s="1" t="str">
        <f>DemTechs_INDF!Y$6</f>
        <v>MANELC</v>
      </c>
      <c r="Q55" t="s">
        <v>227</v>
      </c>
      <c r="R55" s="127">
        <v>3.125E-2</v>
      </c>
    </row>
    <row r="56" spans="15:18" x14ac:dyDescent="0.25">
      <c r="O56" s="1" t="s">
        <v>181</v>
      </c>
      <c r="P56" s="1" t="str">
        <f>DemTechs_INDF!Y$6</f>
        <v>MANELC</v>
      </c>
      <c r="Q56" t="s">
        <v>228</v>
      </c>
      <c r="R56" s="127">
        <v>3.125E-2</v>
      </c>
    </row>
    <row r="57" spans="15:18" x14ac:dyDescent="0.25">
      <c r="O57" s="1" t="s">
        <v>181</v>
      </c>
      <c r="P57" s="1" t="str">
        <f>DemTechs_INDF!Y$6</f>
        <v>MANELC</v>
      </c>
      <c r="Q57" t="s">
        <v>229</v>
      </c>
      <c r="R57" s="129">
        <v>3.125E-2</v>
      </c>
    </row>
    <row r="58" spans="15:18" x14ac:dyDescent="0.25">
      <c r="O58" s="1" t="s">
        <v>181</v>
      </c>
      <c r="P58" s="1" t="str">
        <f>DemTechs_INDF!Y$6</f>
        <v>MANELC</v>
      </c>
      <c r="Q58" t="s">
        <v>230</v>
      </c>
      <c r="R58" s="127">
        <v>3.125E-2</v>
      </c>
    </row>
    <row r="59" spans="15:18" x14ac:dyDescent="0.25">
      <c r="O59" s="1" t="s">
        <v>181</v>
      </c>
      <c r="P59" s="1" t="str">
        <f>DemTechs_INDF!Y$6</f>
        <v>MANELC</v>
      </c>
      <c r="Q59" t="s">
        <v>231</v>
      </c>
      <c r="R59" s="127">
        <v>3.125E-2</v>
      </c>
    </row>
    <row r="60" spans="15:18" x14ac:dyDescent="0.25">
      <c r="O60" s="1" t="s">
        <v>181</v>
      </c>
      <c r="P60" s="153" t="s">
        <v>165</v>
      </c>
      <c r="Q60" s="153" t="s">
        <v>443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6" sqref="K6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/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238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239</v>
      </c>
      <c r="D7" s="136" t="s">
        <v>239</v>
      </c>
      <c r="E7" s="136" t="s">
        <v>239</v>
      </c>
      <c r="F7" s="136" t="s">
        <v>239</v>
      </c>
      <c r="G7" s="136"/>
      <c r="H7" s="136"/>
      <c r="I7" s="1"/>
    </row>
    <row r="8" spans="2:9" x14ac:dyDescent="0.25">
      <c r="B8" s="311"/>
      <c r="C8" s="311"/>
      <c r="D8" s="311"/>
      <c r="E8" s="311"/>
      <c r="F8" s="311"/>
      <c r="G8" s="311"/>
      <c r="H8" s="311"/>
      <c r="I8" s="1"/>
    </row>
    <row r="9" spans="2:9" ht="13" x14ac:dyDescent="0.25">
      <c r="B9" s="137" t="str">
        <f>DemTechs_INDF!Y7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2025-11-12T23:58:26Z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