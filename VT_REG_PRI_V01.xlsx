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C4192E3A-8DE2-47A4-AB13-FFE32670A596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45" l="1"/>
  <c r="G16" i="145"/>
  <c r="H16" i="145"/>
  <c r="I16" i="145"/>
  <c r="J16" i="145"/>
  <c r="K16" i="145"/>
  <c r="M11" i="145"/>
  <c r="M10" i="145"/>
  <c r="M9" i="145"/>
  <c r="L64" i="133"/>
  <c r="M64" i="133"/>
  <c r="M63" i="133"/>
  <c r="M62" i="133"/>
  <c r="O53" i="133"/>
  <c r="O54" i="133"/>
  <c r="O55" i="133"/>
  <c r="O56" i="133"/>
  <c r="O57" i="133"/>
  <c r="N53" i="133"/>
  <c r="N54" i="133"/>
  <c r="N55" i="133"/>
  <c r="N56" i="133"/>
  <c r="N57" i="133"/>
  <c r="M53" i="133"/>
  <c r="M54" i="133"/>
  <c r="M55" i="133"/>
  <c r="M56" i="133"/>
  <c r="M57" i="133"/>
  <c r="N52" i="133"/>
  <c r="O52" i="133"/>
  <c r="M52" i="133"/>
  <c r="I62" i="133"/>
  <c r="I63" i="133"/>
  <c r="I64" i="133"/>
  <c r="K64" i="133"/>
  <c r="K63" i="133"/>
  <c r="K62" i="133"/>
  <c r="F11" i="145"/>
  <c r="G11" i="145"/>
  <c r="H11" i="145"/>
  <c r="I11" i="145"/>
  <c r="J11" i="145"/>
  <c r="K11" i="145"/>
  <c r="F10" i="145"/>
  <c r="G10" i="145"/>
  <c r="H10" i="145"/>
  <c r="I10" i="145"/>
  <c r="J10" i="145"/>
  <c r="K10" i="145"/>
  <c r="F9" i="145"/>
  <c r="G9" i="145"/>
  <c r="H9" i="145"/>
  <c r="I9" i="145"/>
  <c r="J9" i="145"/>
  <c r="K9" i="145"/>
  <c r="F15" i="145"/>
  <c r="G15" i="145"/>
  <c r="H15" i="145"/>
  <c r="I15" i="145"/>
  <c r="J15" i="145"/>
  <c r="K15" i="145"/>
  <c r="E15" i="145"/>
  <c r="F14" i="145"/>
  <c r="G14" i="145"/>
  <c r="H14" i="145"/>
  <c r="I14" i="145"/>
  <c r="J14" i="145"/>
  <c r="K14" i="145"/>
  <c r="E14" i="145"/>
  <c r="F13" i="145"/>
  <c r="G13" i="145"/>
  <c r="H13" i="145"/>
  <c r="I13" i="145"/>
  <c r="J13" i="145"/>
  <c r="K13" i="145"/>
  <c r="E13" i="145"/>
  <c r="E16" i="145"/>
  <c r="E11" i="145"/>
  <c r="E10" i="145"/>
  <c r="E9" i="145"/>
  <c r="L63" i="133"/>
  <c r="E64" i="133"/>
  <c r="F64" i="133"/>
  <c r="G64" i="133"/>
  <c r="H64" i="133"/>
  <c r="D64" i="133"/>
  <c r="E62" i="133"/>
  <c r="F62" i="133"/>
  <c r="G62" i="133"/>
  <c r="H62" i="133"/>
  <c r="D62" i="133"/>
  <c r="J64" i="133"/>
  <c r="D11" i="145"/>
  <c r="C11" i="145"/>
  <c r="D17" i="143"/>
  <c r="D16" i="143"/>
  <c r="E19" i="143"/>
  <c r="E18" i="143"/>
  <c r="E17" i="143"/>
  <c r="E16" i="143"/>
  <c r="D23" i="137"/>
  <c r="D24" i="137"/>
  <c r="D25" i="137"/>
  <c r="I23" i="137"/>
  <c r="E40" i="133"/>
  <c r="D39" i="133"/>
  <c r="D38" i="133"/>
  <c r="L61" i="133"/>
  <c r="L62" i="133"/>
  <c r="K61" i="133"/>
  <c r="J61" i="133"/>
  <c r="J62" i="133"/>
  <c r="J63" i="133"/>
  <c r="I61" i="133"/>
  <c r="E63" i="133"/>
  <c r="F63" i="133"/>
  <c r="G63" i="133"/>
  <c r="H63" i="133"/>
  <c r="D63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8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18" i="133"/>
  <c r="F18" i="133"/>
  <c r="G18" i="133"/>
  <c r="H18" i="133"/>
  <c r="I18" i="133"/>
  <c r="J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C9" i="145"/>
  <c r="E6" i="146"/>
  <c r="F6" i="146"/>
  <c r="D6" i="146"/>
  <c r="C6" i="146"/>
  <c r="E21" i="145"/>
  <c r="E20" i="145"/>
  <c r="F35" i="143"/>
  <c r="C10" i="145"/>
  <c r="I26" i="137"/>
  <c r="I25" i="137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9" i="145"/>
  <c r="P45" i="145"/>
  <c r="P12" i="145"/>
  <c r="P15" i="145"/>
  <c r="P31" i="145"/>
  <c r="P14" i="145"/>
  <c r="P32" i="145"/>
  <c r="P48" i="145"/>
  <c r="P17" i="145"/>
  <c r="P49" i="145"/>
  <c r="P38" i="145"/>
  <c r="P23" i="145"/>
  <c r="P40" i="145"/>
  <c r="P25" i="145"/>
  <c r="P42" i="145"/>
  <c r="P27" i="145"/>
  <c r="P28" i="145"/>
  <c r="P30" i="145"/>
  <c r="P46" i="145"/>
  <c r="P13" i="145"/>
  <c r="P47" i="145"/>
  <c r="P16" i="145"/>
  <c r="P10" i="145"/>
  <c r="P33" i="145"/>
  <c r="P54" i="145"/>
  <c r="P55" i="145"/>
  <c r="P56" i="145"/>
  <c r="P41" i="145"/>
  <c r="P58" i="145"/>
  <c r="P59" i="145"/>
  <c r="P60" i="145"/>
  <c r="P18" i="145"/>
  <c r="P34" i="145"/>
  <c r="P50" i="145"/>
  <c r="P19" i="145"/>
  <c r="P35" i="145"/>
  <c r="P51" i="145"/>
  <c r="P20" i="145"/>
  <c r="P36" i="145"/>
  <c r="P52" i="145"/>
  <c r="P21" i="145"/>
  <c r="P37" i="145"/>
  <c r="P53" i="145"/>
  <c r="P22" i="145"/>
  <c r="P39" i="145"/>
  <c r="P24" i="145"/>
  <c r="P57" i="145"/>
  <c r="P26" i="145"/>
  <c r="P43" i="145"/>
  <c r="P44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<sst xmlns="http://schemas.openxmlformats.org/spreadsheetml/2006/main" count="868" uniqueCount="461">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</sst>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3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19</xdr:row>
      <xdr:rowOff>17751</xdr:rowOff>
    </xdr:from>
    <xdr:to>
      <xdr:col>10</xdr:col>
      <xdr:colOff>92721</xdr:colOff>
      <xdr:row>24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1" t="s">
        <v>142</v>
      </c>
      <c r="B2" s="282"/>
      <c r="C2" s="282"/>
      <c r="D2" s="282"/>
      <c r="E2" s="283"/>
      <c r="F2" s="281" t="s">
        <v>258</v>
      </c>
      <c r="G2" s="282"/>
      <c r="H2" s="282"/>
      <c r="I2" s="283"/>
      <c r="J2" s="287" t="s">
        <v>259</v>
      </c>
      <c r="K2" s="288"/>
      <c r="L2" s="288"/>
      <c r="M2" s="289"/>
      <c r="N2" s="281" t="s">
        <v>260</v>
      </c>
      <c r="O2" s="282"/>
      <c r="P2" s="282"/>
      <c r="Q2" s="282"/>
      <c r="R2" s="283"/>
      <c r="V2" s="179" t="s">
        <v>142</v>
      </c>
      <c r="W2" s="278" t="s">
        <v>261</v>
      </c>
      <c r="X2" s="279"/>
      <c r="Y2" s="279"/>
      <c r="Z2" s="279"/>
      <c r="AA2" s="280"/>
      <c r="AB2" s="278" t="s">
        <v>262</v>
      </c>
      <c r="AC2" s="279"/>
      <c r="AD2" s="279"/>
      <c r="AE2" s="279"/>
      <c r="AF2" s="280"/>
    </row>
    <row r="3" spans="1:32" ht="24.6" customHeight="1" thickBot="1" x14ac:dyDescent="0.3">
      <c r="A3" s="281" t="s">
        <v>263</v>
      </c>
      <c r="B3" s="282"/>
      <c r="C3" s="282"/>
      <c r="D3" s="282"/>
      <c r="E3" s="283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4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5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5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5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5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5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5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6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4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5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5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5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5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5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5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6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2" t="s">
        <v>352</v>
      </c>
      <c r="D1" s="292"/>
      <c r="E1" s="292"/>
      <c r="F1" s="292"/>
      <c r="G1" s="292" t="s">
        <v>353</v>
      </c>
      <c r="H1" s="292"/>
      <c r="I1" s="292"/>
      <c r="J1" s="292"/>
      <c r="K1" s="292" t="s">
        <v>354</v>
      </c>
      <c r="L1" s="292"/>
      <c r="M1" s="292" t="s">
        <v>355</v>
      </c>
      <c r="N1" s="292"/>
      <c r="O1" s="292" t="s">
        <v>356</v>
      </c>
      <c r="P1" s="292"/>
      <c r="Q1" s="292"/>
      <c r="R1" s="292" t="s">
        <v>356</v>
      </c>
      <c r="S1" s="292"/>
      <c r="T1" s="292"/>
      <c r="U1" s="292" t="s">
        <v>356</v>
      </c>
      <c r="V1" s="292"/>
      <c r="W1" s="292"/>
      <c r="X1" s="20" t="s">
        <v>357</v>
      </c>
      <c r="Y1" s="292" t="s">
        <v>358</v>
      </c>
      <c r="Z1" s="292"/>
      <c r="AA1" s="292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2" t="s">
        <v>360</v>
      </c>
      <c r="P2" s="292"/>
      <c r="Q2" s="292"/>
      <c r="R2" s="292" t="s">
        <v>363</v>
      </c>
      <c r="S2" s="292"/>
      <c r="T2" s="292"/>
      <c r="U2" s="292" t="s">
        <v>362</v>
      </c>
      <c r="V2" s="292"/>
      <c r="W2" s="292"/>
      <c r="X2" s="20" t="s">
        <v>112</v>
      </c>
      <c r="Y2" s="292" t="s">
        <v>364</v>
      </c>
      <c r="Z2" s="292"/>
      <c r="AA2" s="292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0" t="str">
        <f t="shared" si="1"/>
        <v>Installation Cost per kW</v>
      </c>
      <c r="D17" s="290"/>
      <c r="E17" s="290"/>
      <c r="F17" s="290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1" t="s">
        <v>414</v>
      </c>
      <c r="D42" s="291"/>
      <c r="E42" s="291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C46" zoomScale="122" zoomScaleNormal="122" workbookViewId="0">
      <selection activeCell="O56" sqref="O56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64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4" si="5">1/(G$51-E$51)</f>
        <v>0.5</v>
      </c>
      <c r="K53" s="263">
        <f t="shared" ref="K53:K64" si="6">(I53^J53)-1</f>
        <v>0.17165082520825248</v>
      </c>
      <c r="L53" s="113">
        <f t="shared" ref="L53:L64" si="7">(I53-1)/(G$51-E$51)</f>
        <v>0.18638282810558948</v>
      </c>
      <c r="M53" s="113">
        <f t="shared" ref="M53:M64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F23" sqref="F23: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zoomScale="118" zoomScaleNormal="118" workbookViewId="0">
      <selection activeCell="P17" sqref="P17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267" t="s">
        <v>451</v>
      </c>
      <c r="Q5" s="267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267" t="s">
        <v>82</v>
      </c>
      <c r="O8" s="93"/>
      <c r="P8" s="267" t="s">
        <v>452</v>
      </c>
      <c r="Q8" s="267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91" t="s">
        <v>113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ref="D18" si="0"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  <c r="K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1"/>
  <sheetViews>
    <sheetView tabSelected="1" topLeftCell="C4" zoomScale="226" zoomScaleNormal="226" workbookViewId="0">
      <selection activeCell="L13" sqref="L13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ht="13.5" thickBot="1" x14ac:dyDescent="0.25">
      <c r="B9" s="122" t="s">
        <v>181</v>
      </c>
      <c r="C9" s="122" t="str">
        <f>DemTechs_INDF!P5</f>
        <v>MANHEATOIL</v>
      </c>
      <c r="D9" s="122" t="str">
        <f>E$2</f>
        <v>GWh</v>
      </c>
      <c r="E9" s="124">
        <f>EBF!D62</f>
        <v>2026.6671111111111</v>
      </c>
      <c r="F9" s="124">
        <f>E9*(1+$M$9)^(F6-E6)</f>
        <v>2494.7129087774151</v>
      </c>
      <c r="G9" s="124">
        <f t="shared" ref="G9:K9" si="0">F9*(1+$M$9)^(G6-F6)</f>
        <v>3527.0977708315477</v>
      </c>
      <c r="H9" s="124">
        <f t="shared" si="0"/>
        <v>4986.7135577943327</v>
      </c>
      <c r="I9" s="124">
        <f t="shared" si="0"/>
        <v>7050.3608698170856</v>
      </c>
      <c r="J9" s="124">
        <f t="shared" si="0"/>
        <v>9968.0055448450566</v>
      </c>
      <c r="K9" s="124">
        <f t="shared" si="0"/>
        <v>14093.056565009505</v>
      </c>
      <c r="M9" s="152">
        <f>EBF!O54</f>
        <v>7.1715186504524242E-2</v>
      </c>
      <c r="O9" s="9" t="s">
        <v>87</v>
      </c>
      <c r="P9" s="9"/>
      <c r="Q9" s="9"/>
      <c r="R9" s="9"/>
    </row>
    <row r="10" spans="2:18" ht="13.5" thickBot="1" x14ac:dyDescent="0.25">
      <c r="B10" s="122" t="s">
        <v>181</v>
      </c>
      <c r="C10" s="122" t="str">
        <f>DemTechs_INDF!P6</f>
        <v>MANELC</v>
      </c>
      <c r="D10" s="122" t="str">
        <f>E$2</f>
        <v>GWh</v>
      </c>
      <c r="E10" s="124">
        <f>EBF!D63</f>
        <v>2791.0050000000001</v>
      </c>
      <c r="F10" s="124">
        <f>E10*(1+$M$10)^(F6-E6)</f>
        <v>4849.7006557037557</v>
      </c>
      <c r="G10" s="124">
        <f t="shared" ref="G10:K10" si="1">F10*(1+$M$10)^(G6-F6)</f>
        <v>12179.761857336442</v>
      </c>
      <c r="H10" s="124">
        <f t="shared" si="1"/>
        <v>30588.81556472079</v>
      </c>
      <c r="I10" s="124">
        <f t="shared" si="1"/>
        <v>76822.16192830597</v>
      </c>
      <c r="J10" s="124">
        <f t="shared" si="1"/>
        <v>192934.71990937262</v>
      </c>
      <c r="K10" s="124">
        <f t="shared" si="1"/>
        <v>484545.15223415685</v>
      </c>
      <c r="M10" s="153">
        <f>EBF!O55</f>
        <v>0.20222228165192857</v>
      </c>
      <c r="O10" s="1" t="s">
        <v>183</v>
      </c>
      <c r="P10" s="1" t="str">
        <f>DemTechs_INDF!P$6</f>
        <v>MANELC</v>
      </c>
      <c r="Q10" s="91" t="s">
        <v>184</v>
      </c>
      <c r="R10" s="129">
        <v>0.75</v>
      </c>
    </row>
    <row r="11" spans="2:18" ht="13.5" thickBot="1" x14ac:dyDescent="0.25">
      <c r="B11" s="141" t="s">
        <v>181</v>
      </c>
      <c r="C11" s="122" t="str">
        <f>DemTechs_INDF!P8</f>
        <v>MANHEATCOAL</v>
      </c>
      <c r="D11" s="122" t="str">
        <f>E$2</f>
        <v>GWh</v>
      </c>
      <c r="E11" s="124">
        <f>EBF!D64</f>
        <v>2446.2078055555553</v>
      </c>
      <c r="F11" s="124">
        <f t="shared" ref="F11:K11" si="2">E11*(1+$M$11)^(F6-E6)</f>
        <v>2929.013763125804</v>
      </c>
      <c r="G11" s="124">
        <f t="shared" si="2"/>
        <v>3954.5905146553259</v>
      </c>
      <c r="H11" s="124">
        <f t="shared" si="2"/>
        <v>5339.2668670536987</v>
      </c>
      <c r="I11" s="124">
        <f t="shared" si="2"/>
        <v>7208.7794101488907</v>
      </c>
      <c r="J11" s="124">
        <f t="shared" si="2"/>
        <v>9732.8906529938286</v>
      </c>
      <c r="K11" s="124">
        <f t="shared" si="2"/>
        <v>13140.804437679151</v>
      </c>
      <c r="M11" s="153">
        <f>EBF!O56</f>
        <v>6.1881419217466149E-2</v>
      </c>
      <c r="O11" s="1"/>
      <c r="P11" s="1"/>
      <c r="Q11" s="91"/>
      <c r="R11" s="129"/>
    </row>
    <row r="12" spans="2:18" ht="13.5" thickBot="1" x14ac:dyDescent="0.25">
      <c r="B12" s="122"/>
      <c r="C12" s="122"/>
      <c r="D12" s="122"/>
      <c r="E12" s="124"/>
      <c r="F12" s="124"/>
      <c r="K12" s="5"/>
      <c r="M12" s="151"/>
      <c r="O12" s="1" t="s">
        <v>183</v>
      </c>
      <c r="P12" s="1" t="str">
        <f>DemTechs_INDF!P$6</f>
        <v>MANELC</v>
      </c>
      <c r="Q12" s="91" t="s">
        <v>185</v>
      </c>
      <c r="R12" s="129">
        <v>0.25</v>
      </c>
    </row>
    <row r="13" spans="2:18" x14ac:dyDescent="0.2">
      <c r="B13" s="122"/>
      <c r="C13" s="122"/>
      <c r="D13" s="141" t="s">
        <v>248</v>
      </c>
      <c r="E13" s="266">
        <f>E10/(SUM(E9:E11))</f>
        <v>0.38423060843780699</v>
      </c>
      <c r="F13" s="266">
        <f t="shared" ref="F13:K13" si="3">F10/(SUM(F9:F11))</f>
        <v>0.47206258447670485</v>
      </c>
      <c r="G13" s="266">
        <f t="shared" si="3"/>
        <v>0.61947423861724726</v>
      </c>
      <c r="H13" s="266">
        <f t="shared" si="3"/>
        <v>0.74762234113349524</v>
      </c>
      <c r="I13" s="266">
        <f t="shared" si="3"/>
        <v>0.8434460209257858</v>
      </c>
      <c r="J13" s="266">
        <f t="shared" si="3"/>
        <v>0.907349029487583</v>
      </c>
      <c r="K13" s="266">
        <f t="shared" si="3"/>
        <v>0.94678589723630358</v>
      </c>
      <c r="M13" s="151"/>
      <c r="N13" s="5"/>
      <c r="O13" s="1" t="s">
        <v>183</v>
      </c>
      <c r="P13" s="1" t="str">
        <f>DemTechs_INDF!P$6</f>
        <v>MANELC</v>
      </c>
      <c r="Q13" s="91" t="s">
        <v>186</v>
      </c>
      <c r="R13" s="129">
        <v>1.0416666666666666E-2</v>
      </c>
    </row>
    <row r="14" spans="2:18" x14ac:dyDescent="0.2">
      <c r="B14" s="1"/>
      <c r="D14" t="s">
        <v>456</v>
      </c>
      <c r="E14" s="266">
        <f>E9/(E9+E10+E11)</f>
        <v>0.27900614194640094</v>
      </c>
      <c r="F14" s="266">
        <f t="shared" ref="F14:K14" si="4">F9/(F9+F10+F11)</f>
        <v>0.2428316110314587</v>
      </c>
      <c r="G14" s="266">
        <f t="shared" si="4"/>
        <v>0.17939153751174269</v>
      </c>
      <c r="H14" s="266">
        <f t="shared" si="4"/>
        <v>0.12188044537887197</v>
      </c>
      <c r="I14" s="266">
        <f t="shared" si="4"/>
        <v>7.7407334973047581E-2</v>
      </c>
      <c r="J14" s="266">
        <f t="shared" si="4"/>
        <v>4.6878343935661086E-2</v>
      </c>
      <c r="K14" s="266">
        <f t="shared" si="4"/>
        <v>2.7537386646387156E-2</v>
      </c>
      <c r="M14" s="151"/>
      <c r="O14" s="1" t="s">
        <v>183</v>
      </c>
      <c r="P14" s="1" t="str">
        <f>DemTechs_INDF!P$6</f>
        <v>MANELC</v>
      </c>
      <c r="Q14" s="130" t="s">
        <v>187</v>
      </c>
      <c r="R14" s="131">
        <v>1.0416666666666666E-2</v>
      </c>
    </row>
    <row r="15" spans="2:18" x14ac:dyDescent="0.2">
      <c r="D15" t="s">
        <v>455</v>
      </c>
      <c r="E15" s="266">
        <f>E11/(E9+E10+E11)</f>
        <v>0.33676324961579202</v>
      </c>
      <c r="F15" s="266">
        <f t="shared" ref="F15:K15" si="5">F11/(F9+F10+F11)</f>
        <v>0.28510580449183648</v>
      </c>
      <c r="G15" s="266">
        <f t="shared" si="5"/>
        <v>0.20113422387100999</v>
      </c>
      <c r="H15" s="266">
        <f t="shared" si="5"/>
        <v>0.13049721348763263</v>
      </c>
      <c r="I15" s="266">
        <f t="shared" si="5"/>
        <v>7.9146644101166494E-2</v>
      </c>
      <c r="J15" s="266">
        <f t="shared" si="5"/>
        <v>4.5772626576755966E-2</v>
      </c>
      <c r="K15" s="266">
        <f t="shared" si="5"/>
        <v>2.5676716117309283E-2</v>
      </c>
      <c r="O15" s="1" t="s">
        <v>183</v>
      </c>
      <c r="P15" s="1" t="str">
        <f>DemTechs_INDF!P$6</f>
        <v>MANELC</v>
      </c>
      <c r="Q15" t="s">
        <v>188</v>
      </c>
      <c r="R15" s="129">
        <v>1.0416666666666666E-2</v>
      </c>
    </row>
    <row r="16" spans="2:18" x14ac:dyDescent="0.2">
      <c r="E16" s="277">
        <f>SUM(E13:E15)</f>
        <v>1</v>
      </c>
      <c r="F16" s="277">
        <f t="shared" ref="F16:K16" si="6">SUM(F13:F15)</f>
        <v>1</v>
      </c>
      <c r="G16" s="277">
        <f t="shared" si="6"/>
        <v>0.99999999999999989</v>
      </c>
      <c r="H16" s="277">
        <f t="shared" si="6"/>
        <v>0.99999999999999989</v>
      </c>
      <c r="I16" s="277">
        <f t="shared" si="6"/>
        <v>0.99999999999999989</v>
      </c>
      <c r="J16" s="277">
        <f t="shared" si="6"/>
        <v>1</v>
      </c>
      <c r="K16" s="277">
        <f t="shared" si="6"/>
        <v>1</v>
      </c>
      <c r="O16" s="1" t="s">
        <v>183</v>
      </c>
      <c r="P16" s="1" t="str">
        <f>DemTechs_INDF!P$6</f>
        <v>MANELC</v>
      </c>
      <c r="Q16" t="s">
        <v>189</v>
      </c>
      <c r="R16" s="129">
        <v>1.0416666666666666E-2</v>
      </c>
    </row>
    <row r="17" spans="2:18" x14ac:dyDescent="0.2">
      <c r="E17" s="5"/>
      <c r="O17" s="1" t="s">
        <v>183</v>
      </c>
      <c r="P17" s="1" t="str">
        <f>DemTechs_INDF!P$6</f>
        <v>MANELC</v>
      </c>
      <c r="Q17" t="s">
        <v>190</v>
      </c>
      <c r="R17" s="129">
        <v>1.0416666666666666E-2</v>
      </c>
    </row>
    <row r="18" spans="2:18" x14ac:dyDescent="0.2">
      <c r="O18" s="1" t="s">
        <v>183</v>
      </c>
      <c r="P18" s="1" t="str">
        <f>DemTechs_INDF!P$6</f>
        <v>MANELC</v>
      </c>
      <c r="Q18" t="s">
        <v>191</v>
      </c>
      <c r="R18" s="131">
        <v>1.0416666666666666E-2</v>
      </c>
    </row>
    <row r="19" spans="2:18" x14ac:dyDescent="0.2">
      <c r="O19" s="1" t="s">
        <v>183</v>
      </c>
      <c r="P19" s="1" t="str">
        <f>DemTechs_INDF!P$6</f>
        <v>MANELC</v>
      </c>
      <c r="Q19" t="s">
        <v>192</v>
      </c>
      <c r="R19" s="129">
        <v>1.0416666666666666E-2</v>
      </c>
    </row>
    <row r="20" spans="2:18" x14ac:dyDescent="0.2">
      <c r="B20" s="1"/>
      <c r="E20" s="5">
        <f>EBF!J19</f>
        <v>150.60848427090019</v>
      </c>
      <c r="O20" s="1" t="s">
        <v>183</v>
      </c>
      <c r="P20" s="1" t="str">
        <f>DemTechs_INDF!P$6</f>
        <v>MANELC</v>
      </c>
      <c r="Q20" t="s">
        <v>193</v>
      </c>
      <c r="R20" s="129">
        <v>1.0416666666666666E-2</v>
      </c>
    </row>
    <row r="21" spans="2:18" x14ac:dyDescent="0.2">
      <c r="B21" s="1"/>
      <c r="E21" s="5">
        <f>EBF!E19</f>
        <v>8781.4640358504003</v>
      </c>
      <c r="O21" s="1" t="s">
        <v>183</v>
      </c>
      <c r="P21" s="1" t="str">
        <f>DemTechs_INDF!P$6</f>
        <v>MANELC</v>
      </c>
      <c r="Q21" t="s">
        <v>194</v>
      </c>
      <c r="R21" s="129">
        <v>1.0416666666666666E-2</v>
      </c>
    </row>
    <row r="22" spans="2:18" x14ac:dyDescent="0.2">
      <c r="O22" s="1" t="s">
        <v>183</v>
      </c>
      <c r="P22" s="1" t="str">
        <f>DemTechs_INDF!P$6</f>
        <v>MANELC</v>
      </c>
      <c r="Q22" t="s">
        <v>195</v>
      </c>
      <c r="R22" s="131">
        <v>1.0416666666666666E-2</v>
      </c>
    </row>
    <row r="23" spans="2:18" x14ac:dyDescent="0.2">
      <c r="B23" s="123"/>
      <c r="C23" s="1" t="s">
        <v>98</v>
      </c>
      <c r="O23" s="1" t="s">
        <v>183</v>
      </c>
      <c r="P23" s="1" t="str">
        <f>DemTechs_INDF!P$6</f>
        <v>MANELC</v>
      </c>
      <c r="Q23" t="s">
        <v>196</v>
      </c>
      <c r="R23" s="129">
        <v>1.0416666666666666E-2</v>
      </c>
    </row>
    <row r="24" spans="2:18" x14ac:dyDescent="0.2">
      <c r="B24" s="47"/>
      <c r="C24" s="1" t="s">
        <v>99</v>
      </c>
      <c r="O24" s="1" t="s">
        <v>183</v>
      </c>
      <c r="P24" s="1" t="str">
        <f>DemTechs_INDF!P$6</f>
        <v>MANELC</v>
      </c>
      <c r="Q24" t="s">
        <v>197</v>
      </c>
      <c r="R24" s="129">
        <v>1.0416666666666666E-2</v>
      </c>
    </row>
    <row r="25" spans="2:18" x14ac:dyDescent="0.2">
      <c r="O25" s="1" t="s">
        <v>183</v>
      </c>
      <c r="P25" s="1" t="str">
        <f>DemTechs_INDF!P$6</f>
        <v>MANELC</v>
      </c>
      <c r="Q25" t="s">
        <v>198</v>
      </c>
      <c r="R25" s="129">
        <v>1.0416666666666666E-2</v>
      </c>
    </row>
    <row r="26" spans="2:18" x14ac:dyDescent="0.2">
      <c r="O26" s="1" t="s">
        <v>183</v>
      </c>
      <c r="P26" s="1" t="str">
        <f>DemTechs_INDF!P$6</f>
        <v>MANELC</v>
      </c>
      <c r="Q26" t="s">
        <v>199</v>
      </c>
      <c r="R26" s="131">
        <v>1.0416666666666666E-2</v>
      </c>
    </row>
    <row r="27" spans="2:18" x14ac:dyDescent="0.2">
      <c r="O27" s="1" t="s">
        <v>183</v>
      </c>
      <c r="P27" s="1" t="str">
        <f>DemTechs_INDF!P$6</f>
        <v>MANELC</v>
      </c>
      <c r="Q27" t="s">
        <v>200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201</v>
      </c>
      <c r="R28" s="129">
        <v>1.0416666666666666E-2</v>
      </c>
    </row>
    <row r="29" spans="2:18" x14ac:dyDescent="0.2">
      <c r="O29" s="1" t="s">
        <v>183</v>
      </c>
      <c r="P29" s="1" t="str">
        <f>DemTechs_INDF!P$6</f>
        <v>MANELC</v>
      </c>
      <c r="Q29" t="s">
        <v>202</v>
      </c>
      <c r="R29" s="129">
        <v>1.0416666666666666E-2</v>
      </c>
    </row>
    <row r="30" spans="2:18" x14ac:dyDescent="0.2">
      <c r="O30" s="1" t="s">
        <v>183</v>
      </c>
      <c r="P30" s="1" t="str">
        <f>DemTechs_INDF!P$6</f>
        <v>MANELC</v>
      </c>
      <c r="Q30" t="s">
        <v>203</v>
      </c>
      <c r="R30" s="131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204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205</v>
      </c>
      <c r="R32" s="129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206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207</v>
      </c>
      <c r="R34" s="131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208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209</v>
      </c>
      <c r="R36" s="129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210</v>
      </c>
      <c r="R37" s="129">
        <v>3.125E-2</v>
      </c>
    </row>
    <row r="38" spans="15:18" x14ac:dyDescent="0.2">
      <c r="O38" s="1" t="s">
        <v>183</v>
      </c>
      <c r="P38" s="1" t="str">
        <f>DemTechs_INDF!P$6</f>
        <v>MANELC</v>
      </c>
      <c r="Q38" t="s">
        <v>211</v>
      </c>
      <c r="R38" s="131">
        <v>3.125E-2</v>
      </c>
    </row>
    <row r="39" spans="15:18" x14ac:dyDescent="0.2">
      <c r="O39" s="1" t="s">
        <v>183</v>
      </c>
      <c r="P39" s="1" t="str">
        <f>DemTechs_INDF!P$6</f>
        <v>MANELC</v>
      </c>
      <c r="Q39" t="s">
        <v>212</v>
      </c>
      <c r="R39" s="129">
        <v>3.125E-2</v>
      </c>
    </row>
    <row r="40" spans="15:18" x14ac:dyDescent="0.2">
      <c r="O40" s="1" t="s">
        <v>183</v>
      </c>
      <c r="P40" s="1" t="str">
        <f>DemTechs_INDF!P$6</f>
        <v>MANELC</v>
      </c>
      <c r="Q40" t="s">
        <v>213</v>
      </c>
      <c r="R40" s="129">
        <v>3.125E-2</v>
      </c>
    </row>
    <row r="41" spans="15:18" x14ac:dyDescent="0.2">
      <c r="O41" s="1" t="s">
        <v>183</v>
      </c>
      <c r="P41" s="1" t="str">
        <f>DemTechs_INDF!P$6</f>
        <v>MANELC</v>
      </c>
      <c r="Q41" t="s">
        <v>214</v>
      </c>
      <c r="R41" s="129">
        <v>3.125E-2</v>
      </c>
    </row>
    <row r="42" spans="15:18" x14ac:dyDescent="0.2">
      <c r="O42" s="1" t="s">
        <v>183</v>
      </c>
      <c r="P42" s="1" t="str">
        <f>DemTechs_INDF!P$6</f>
        <v>MANELC</v>
      </c>
      <c r="Q42" t="s">
        <v>215</v>
      </c>
      <c r="R42" s="131">
        <v>3.125E-2</v>
      </c>
    </row>
    <row r="43" spans="15:18" x14ac:dyDescent="0.2">
      <c r="O43" s="1" t="s">
        <v>183</v>
      </c>
      <c r="P43" s="1" t="str">
        <f>DemTechs_INDF!P$6</f>
        <v>MANELC</v>
      </c>
      <c r="Q43" t="s">
        <v>216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217</v>
      </c>
      <c r="R44" s="129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218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219</v>
      </c>
      <c r="R46" s="131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220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221</v>
      </c>
      <c r="R48" s="129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222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223</v>
      </c>
      <c r="R50" s="131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224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225</v>
      </c>
      <c r="R52" s="129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226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227</v>
      </c>
      <c r="R54" s="131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228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229</v>
      </c>
      <c r="R56" s="129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230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231</v>
      </c>
      <c r="R58" s="131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232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233</v>
      </c>
      <c r="R60" s="129">
        <v>3.125E-2</v>
      </c>
    </row>
    <row r="61" spans="15:18" x14ac:dyDescent="0.2">
      <c r="O61" s="1" t="s">
        <v>183</v>
      </c>
      <c r="P61" s="155" t="s">
        <v>167</v>
      </c>
      <c r="Q61" s="155" t="s">
        <v>446</v>
      </c>
      <c r="R61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2025-11-08T08:02:54Z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