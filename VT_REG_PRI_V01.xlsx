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0274A89-0F38-4670-8604-6903B2EBA0EC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43" l="1"/>
  <c r="G28" i="143"/>
  <c r="E10" i="145"/>
  <c r="E11" i="145"/>
  <c r="E9" i="145"/>
  <c r="G27" i="143"/>
  <c r="I30" i="137"/>
  <c r="E21" i="143"/>
  <c r="E20" i="143"/>
  <c r="C21" i="143"/>
  <c r="D21" i="143"/>
  <c r="D20" i="143"/>
  <c r="B21" i="143"/>
  <c r="C20" i="143"/>
  <c r="B20" i="143"/>
  <c r="B19" i="143"/>
  <c r="F9" i="145"/>
  <c r="F11" i="145"/>
  <c r="F10" i="145"/>
  <c r="F13" i="145"/>
  <c r="F14" i="145"/>
  <c r="F15" i="145"/>
  <c r="F16" i="145"/>
  <c r="G9" i="145"/>
  <c r="G11" i="145"/>
  <c r="G10" i="145"/>
  <c r="G13" i="145"/>
  <c r="G14" i="145"/>
  <c r="G15" i="145"/>
  <c r="G16" i="145"/>
  <c r="H9" i="145"/>
  <c r="H11" i="145"/>
  <c r="H10" i="145"/>
  <c r="H13" i="145"/>
  <c r="H14" i="145"/>
  <c r="H15" i="145"/>
  <c r="H16" i="145"/>
  <c r="I9" i="145"/>
  <c r="I11" i="145"/>
  <c r="I10" i="145"/>
  <c r="I13" i="145"/>
  <c r="I14" i="145"/>
  <c r="I15" i="145"/>
  <c r="I16" i="145"/>
  <c r="J9" i="145"/>
  <c r="J11" i="145"/>
  <c r="J10" i="145"/>
  <c r="J13" i="145"/>
  <c r="J14" i="145"/>
  <c r="J15" i="145"/>
  <c r="J16" i="145"/>
  <c r="K9" i="145"/>
  <c r="K11" i="145"/>
  <c r="K10" i="145"/>
  <c r="K13" i="145"/>
  <c r="K14" i="145"/>
  <c r="K15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E15" i="145"/>
  <c r="E14" i="145"/>
  <c r="E13" i="145"/>
  <c r="E16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<sst xmlns="http://schemas.openxmlformats.org/spreadsheetml/2006/main" count="878" uniqueCount="465">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</sst>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6" zoomScale="122" zoomScaleNormal="122" workbookViewId="0">
      <selection activeCell="G62" sqref="G62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30" sqref="I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>
        <f>I25/J25</f>
        <v>297.38815164493155</v>
      </c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4" zoomScale="118" zoomScaleNormal="118" workbookViewId="0">
      <selection activeCell="F29" sqref="F29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113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v>0.75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v>0.25</v>
      </c>
      <c r="G21" s="159">
        <v>1</v>
      </c>
      <c r="H21" s="159">
        <v>1</v>
      </c>
      <c r="I21" s="159">
        <v>1</v>
      </c>
      <c r="J21" s="159">
        <v>999</v>
      </c>
      <c r="K21" s="159">
        <v>0</v>
      </c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abSelected="1" topLeftCell="A7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EBF!G62</f>
        <v>2084.0960000000005</v>
      </c>
      <c r="F9" s="124">
        <f>E9*(1+$M$9)^(F6-E6)</f>
        <v>2565.404631982668</v>
      </c>
      <c r="G9" s="124">
        <f t="shared" ref="G9:K9" si="0">F9*(1+$M$9)^(G6-F6)</f>
        <v>3627.0437880490881</v>
      </c>
      <c r="H9" s="124">
        <f t="shared" si="0"/>
        <v>5128.0201479399047</v>
      </c>
      <c r="I9" s="124">
        <f t="shared" si="0"/>
        <v>7250.1442426263065</v>
      </c>
      <c r="J9" s="124">
        <f t="shared" si="0"/>
        <v>10250.465096164708</v>
      </c>
      <c r="K9" s="124">
        <f t="shared" si="0"/>
        <v>14492.406105513488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EBF!G63</f>
        <v>2861.5609722222221</v>
      </c>
      <c r="F10" s="124">
        <f>E10*(1+$M$10)^(F6-E6)</f>
        <v>4972.2999863211944</v>
      </c>
      <c r="G10" s="124">
        <f t="shared" ref="G10:K10" si="1">F10*(1+$M$10)^(G6-F6)</f>
        <v>12487.663469579884</v>
      </c>
      <c r="H10" s="124">
        <f t="shared" si="1"/>
        <v>31362.093871744641</v>
      </c>
      <c r="I10" s="124">
        <f t="shared" si="1"/>
        <v>78764.208726167155</v>
      </c>
      <c r="J10" s="124">
        <f t="shared" si="1"/>
        <v>197812.06578966585</v>
      </c>
      <c r="K10" s="124">
        <f t="shared" si="1"/>
        <v>496794.34358331078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EBF!G64</f>
        <v>4221.8336111111112</v>
      </c>
      <c r="F11" s="124">
        <f t="shared" ref="F11:K11" si="2">E11*(1+$M$11)^(F6-E6)</f>
        <v>5055.0933262855706</v>
      </c>
      <c r="G11" s="124">
        <f t="shared" si="2"/>
        <v>6825.104193942886</v>
      </c>
      <c r="H11" s="124">
        <f t="shared" si="2"/>
        <v>9214.8738413905339</v>
      </c>
      <c r="I11" s="124">
        <f t="shared" si="2"/>
        <v>12441.407119923906</v>
      </c>
      <c r="J11" s="124">
        <f t="shared" si="2"/>
        <v>16797.691839081708</v>
      </c>
      <c r="K11" s="124">
        <f t="shared" si="2"/>
        <v>22679.303747635739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0.31214223196744728</v>
      </c>
      <c r="F13" s="266">
        <f t="shared" ref="F13:K13" si="3">F10/(SUM(F9:F11))</f>
        <v>0.39485267755428183</v>
      </c>
      <c r="G13" s="266">
        <f t="shared" si="3"/>
        <v>0.5443664389283468</v>
      </c>
      <c r="H13" s="266">
        <f t="shared" si="3"/>
        <v>0.68618536705606159</v>
      </c>
      <c r="I13" s="266">
        <f t="shared" si="3"/>
        <v>0.79999594391626871</v>
      </c>
      <c r="J13" s="266">
        <f t="shared" si="3"/>
        <v>0.87971124191077421</v>
      </c>
      <c r="K13" s="266">
        <f t="shared" si="3"/>
        <v>0.93038563104541538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0.22733549394519426</v>
      </c>
      <c r="F14" s="266">
        <f t="shared" ref="F14:K14" si="4">F9/(F9+F10+F11)</f>
        <v>0.20371998687431561</v>
      </c>
      <c r="G14" s="266">
        <f t="shared" si="4"/>
        <v>0.15811131646422313</v>
      </c>
      <c r="H14" s="266">
        <f t="shared" si="4"/>
        <v>0.11219826080092264</v>
      </c>
      <c r="I14" s="266">
        <f t="shared" si="4"/>
        <v>7.3638599063104923E-2</v>
      </c>
      <c r="J14" s="266">
        <f t="shared" si="4"/>
        <v>4.5585942110823403E-2</v>
      </c>
      <c r="K14" s="266">
        <f t="shared" si="4"/>
        <v>2.7141062642923295E-2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0.46052227408735841</v>
      </c>
      <c r="F15" s="266">
        <f t="shared" ref="F15:K15" si="5">F11/(F9+F10+F11)</f>
        <v>0.40142733557140259</v>
      </c>
      <c r="G15" s="266">
        <f t="shared" si="5"/>
        <v>0.29752224460742999</v>
      </c>
      <c r="H15" s="266">
        <f t="shared" si="5"/>
        <v>0.20161637214301584</v>
      </c>
      <c r="I15" s="266">
        <f t="shared" si="5"/>
        <v>0.12636545702062627</v>
      </c>
      <c r="J15" s="266">
        <f t="shared" si="5"/>
        <v>7.4702815978402448E-2</v>
      </c>
      <c r="K15" s="266">
        <f t="shared" si="5"/>
        <v>4.2473306311661428E-2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1</v>
      </c>
      <c r="H16" s="277">
        <f t="shared" si="6"/>
        <v>1</v>
      </c>
      <c r="I16" s="277">
        <f t="shared" si="6"/>
        <v>0.99999999999999989</v>
      </c>
      <c r="J16" s="277">
        <f t="shared" si="6"/>
        <v>1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2025-11-08T09:14:37Z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