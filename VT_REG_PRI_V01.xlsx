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4C2D07F2-BDDB-44AF-B8F6-4303D1821A1C}" xr6:coauthVersionLast="47" xr6:coauthVersionMax="47" xr10:uidLastSave="{00000000-0000-0000-0000-000000000000}"/>
  <bookViews>
    <workbookView xWindow="-120" yWindow="-120" windowWidth="29040" windowHeight="15720" firstSheet="1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" i="143" l="1"/>
  <c r="L58" i="143"/>
  <c r="M58" i="143"/>
  <c r="N58" i="143"/>
  <c r="I58" i="143"/>
  <c r="J58" i="143"/>
  <c r="H58" i="143"/>
  <c r="H21" i="143"/>
  <c r="I21" i="143"/>
  <c r="J21" i="143"/>
  <c r="K21" i="143"/>
  <c r="L21" i="143"/>
  <c r="G21" i="143"/>
  <c r="I57" i="143"/>
  <c r="L57" i="143"/>
  <c r="M57" i="143"/>
  <c r="N57" i="143"/>
  <c r="K57" i="143"/>
  <c r="J57" i="143"/>
  <c r="H20" i="143"/>
  <c r="I20" i="143"/>
  <c r="J20" i="143"/>
  <c r="K20" i="143"/>
  <c r="L20" i="143"/>
  <c r="H56" i="143"/>
  <c r="H54" i="143"/>
  <c r="I56" i="143"/>
  <c r="G20" i="143"/>
  <c r="L56" i="143"/>
  <c r="M56" i="143"/>
  <c r="N56" i="143"/>
  <c r="K56" i="143"/>
  <c r="J56" i="143"/>
  <c r="H53" i="143"/>
  <c r="H52" i="143"/>
  <c r="I53" i="143"/>
  <c r="M20" i="145"/>
  <c r="E18" i="145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P10" i="145"/>
  <c r="O32" i="143"/>
  <c r="F43" i="143"/>
  <c r="O33" i="143"/>
  <c r="F44" i="143"/>
  <c r="Q32" i="143"/>
  <c r="Q33" i="143"/>
  <c r="Q34" i="143"/>
  <c r="Q31" i="143"/>
  <c r="M40" i="143"/>
  <c r="Q35" i="143"/>
  <c r="P53" i="133"/>
  <c r="P54" i="133"/>
  <c r="P55" i="133"/>
  <c r="P56" i="133"/>
  <c r="P57" i="133"/>
  <c r="P52" i="133"/>
  <c r="P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4" i="143"/>
  <c r="O34" i="143"/>
  <c r="D44" i="143"/>
  <c r="D43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1" i="143"/>
  <c r="N32" i="143"/>
  <c r="J18" i="133"/>
  <c r="N33" i="143"/>
  <c r="D22" i="143"/>
  <c r="C44" i="143"/>
  <c r="B44" i="143"/>
  <c r="C43" i="143"/>
  <c r="B43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<sst xmlns="http://schemas.openxmlformats.org/spreadsheetml/2006/main" count="926" uniqueCount="486">
  <si>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</si>
  <si>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</si>
  <si>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</si>
  <si>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</si>
  <si>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</si>
  <si>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</si>
  <si>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</si>
  <si>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</si>
  <si>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</si>
  <si>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</si>
  <si>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</si>
  <si>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</si>
  <si>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</si>
  <si>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</si>
  <si>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</si>
  <si>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</si>
  <si>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</si>
  <si>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</si>
  <si>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</si>
  <si>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</si>
  <si>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</si>
  <si>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</si>
  <si>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</si>
  <si>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</si>
  <si>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</si>
  <si>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</si>
  <si>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</si>
  <si>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</si>
  <si>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</si>
  <si>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</si>
  <si>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</si>
  <si>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</si>
  <si>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</si>
  <si>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</si>
  <si>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</si>
  <si>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</si>
  <si>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</si>
  <si>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</si>
  <si>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</si>
  <si>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</si>
  <si>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</si>
  <si>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</si>
  <si>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</si>
  <si>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</si>
  <si>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</si>
  <si>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</si>
  <si>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</si>
  <si>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</si>
  <si>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</si>
  <si>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</si>
  <si>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</si>
  <si>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</si>
  <si>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</si>
  <si>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</si>
  <si>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</si>
  <si>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</si>
  <si>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</si>
  <si>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</si>
  <si>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</si>
  <si>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</si>
  <si>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</si>
  <si>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</si>
  <si>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</si>
  <si>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</si>
  <si>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</si>
  <si>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</si>
  <si>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</si>
  <si>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</si>
  <si>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</si>
  <si>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</si>
  <si>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</si>
  <si>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</si>
  <si>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</si>
  <si>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</si>
  <si>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</si>
  <si>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</si>
  <si>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</si>
  <si>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</si>
  <si>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</si>
  <si>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</si>
  <si>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</si>
  <si>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</si>
  <si>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</si>
  <si>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</si>
  <si>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</si>
  <si>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</si>
  <si>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</si>
  <si>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</si>
  <si>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</si>
  <si>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</si>
  <si>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</si>
  <si>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</si>
  <si>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</si>
  <si>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</si>
  <si>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</si>
  <si>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</si>
  <si>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</si>
  <si>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</si>
  <si>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</si>
  <si>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</si>
  <si>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</si>
  <si>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</si>
  <si>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</si>
  <si>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</si>
  <si>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</si>
  <si>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</si>
  <si>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</si>
  <si>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</si>
  <si>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</si>
  <si>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</si>
  <si>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</si>
  <si>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</si>
  <si>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</si>
  <si>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</si>
  <si>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</si>
  <si>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</si>
  <si>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</si>
  <si>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</si>
  <si>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</si>
  <si>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</si>
  <si>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</si>
  <si>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</si>
  <si>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</si>
  <si>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</si>
  <si>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</si>
  <si>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</si>
  <si>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</si>
  <si>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</si>
  <si>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</si>
  <si>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</si>
  <si>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</si>
  <si>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</si>
  <si>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</si>
  <si>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</si>
  <si>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</si>
  <si>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</si>
  <si>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</si>
  <si>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</si>
  <si>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</si>
  <si>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</si>
  <si>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</si>
  <si>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</si>
  <si>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</si>
  <si>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</si>
  <si>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</si>
  <si>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</si>
  <si>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</si>
  <si>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</si>
  <si>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</si>
  <si>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</si>
  <si>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</si>
  <si>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</si>
  <si>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</si>
  <si>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</si>
  <si>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</si>
  <si>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</si>
  <si>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</si>
  <si>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</si>
  <si>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</si>
  <si>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</si>
  <si>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</si>
  <si>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</si>
  <si>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</si>
  <si>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</si>
  <si>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</si>
  <si>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</si>
  <si>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</si>
  <si>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</si>
  <si>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</si>
  <si>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</si>
  <si>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</si>
  <si>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</si>
  <si>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</si>
  <si>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</si>
  <si>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</si>
  <si>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</si>
  <si>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</si>
  <si>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</si>
  <si>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</si>
  <si>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</si>
  <si>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</si>
  <si>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</si>
  <si>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</si>
  <si>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</si>
  <si>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</si>
  <si>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</si>
  <si>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</si>
  <si>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</si>
  <si>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</si>
  <si>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</si>
  <si>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</si>
  <si>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</si>
  <si>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</si>
  <si>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</si>
  <si>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</si>
  <si>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</si>
  <si>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</si>
  <si>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</si>
  <si>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</si>
  <si>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</si>
  <si>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</si>
  <si>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</si>
  <si>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</si>
  <si>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</si>
  <si>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</si>
  <si>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</si>
  <si>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</si>
  <si>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</si>
  <si>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</si>
  <si>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</si>
  <si>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</si>
  <si>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</si>
  <si>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</si>
  <si>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</si>
  <si>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</si>
  <si>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</si>
  <si>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</si>
  <si>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</si>
  <si>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</si>
  <si>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</si>
  <si>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</si>
  <si>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</si>
  <si>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</si>
  <si>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</si>
  <si>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</si>
  <si>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</si>
  <si>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</si>
  <si>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</si>
  <si>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</si>
  <si>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</si>
  <si>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</si>
  <si>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</si>
  <si>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</si>
  <si>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</si>
  <si>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</si>
  <si>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</si>
  <si>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</si>
  <si>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</si>
  <si>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</si>
  <si>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</si>
  <si>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</si>
  <si>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</si>
  <si>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</si>
  <si>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</si>
  <si>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</si>
  <si>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</si>
  <si>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</si>
  <si>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</si>
  <si>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</si>
  <si>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</si>
  <si>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</si>
  <si>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</si>
  <si>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</si>
  <si>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</si>
  <si>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</si>
  <si>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</si>
  <si>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</si>
  <si>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</si>
  <si>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</si>
  <si>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</si>
  <si>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</si>
  <si>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</si>
  <si>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</si>
  <si>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</si>
  <si>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</si>
  <si>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</si>
  <si>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</si>
  <si>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</si>
  <si>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</si>
  <si>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</si>
  <si>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</si>
  <si>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</si>
  <si>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</si>
  <si>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</si>
  <si>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</si>
  <si>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</si>
  <si>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</si>
  <si>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</si>
  <si>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</si>
  <si>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</si>
  <si>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</si>
  <si>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</si>
  <si>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</si>
  <si>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</si>
  <si>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</si>
  <si>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</si>
  <si>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</si>
  <si>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</si>
  <si>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</si>
  <si>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</si>
  <si>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</si>
  <si>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</si>
  <si>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</si>
  <si>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</si>
  <si>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</si>
  <si>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</si>
  <si>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</si>
  <si>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</si>
  <si>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</si>
  <si>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</si>
  <si>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</si>
  <si>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</si>
  <si>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</si>
  <si>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</si>
  <si>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</si>
  <si>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</si>
  <si>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</si>
  <si>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</si>
  <si>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</si>
  <si>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</si>
  <si>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</si>
  <si>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</si>
  <si>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</si>
  <si>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</si>
  <si>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</si>
  <si>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</si>
  <si>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</si>
  <si>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</si>
  <si>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</si>
  <si>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</si>
  <si>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</si>
  <si>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</si>
  <si>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</si>
  <si>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</si>
  <si>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</si>
  <si>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</si>
  <si>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</si>
  <si>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</si>
  <si>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</si>
  <si>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</si>
  <si>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</si>
  <si>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</si>
  <si>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</si>
  <si>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</si>
  <si>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</si>
  <si>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</si>
  <si>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</si>
  <si>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</si>
  <si>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</si>
  <si>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</si>
  <si>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</si>
  <si>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</si>
  <si>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</si>
  <si>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</si>
  <si>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</si>
  <si>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</si>
  <si>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</si>
  <si>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</si>
  <si>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</si>
  <si>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</si>
  <si>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</si>
  <si>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</si>
  <si>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</si>
  <si>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</si>
  <si>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</si>
  <si>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</si>
  <si>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</si>
  <si>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</si>
  <si>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</si>
  <si>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</si>
  <si>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</si>
  <si>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</si>
  <si>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</si>
  <si>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</si>
  <si>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</si>
  <si>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</si>
  <si>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</si>
  <si>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</si>
  <si>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</si>
  <si>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</si>
  <si>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</si>
  <si>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</si>
  <si>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</si>
  <si>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</si>
  <si>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</si>
  <si>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</si>
  <si>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</si>
  <si>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</si>
  <si>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</si>
  <si>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</si>
  <si>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</si>
  <si>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</si>
  <si>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</si>
  <si>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</si>
  <si>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</si>
  <si>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</si>
  <si>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</si>
  <si>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</si>
  <si>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</si>
  <si>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</si>
  <si>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</si>
  <si>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</si>
  <si>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</si>
  <si>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</si>
  <si>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</si>
  <si>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</si>
  <si>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</si>
  <si>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</si>
  <si>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</si>
  <si>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</si>
  <si>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</si>
  <si>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</si>
  <si>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</si>
  <si>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</si>
  <si>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</si>
  <si>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</si>
  <si>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</si>
  <si>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</si>
  <si>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</si>
  <si>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</si>
  <si>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</si>
  <si>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</si>
  <si>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</si>
  <si>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</si>
  <si>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</si>
  <si>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</si>
  <si>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</si>
  <si>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</si>
  <si>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</si>
  <si>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</si>
  <si>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</si>
  <si>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</si>
  <si>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</si>
  <si>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</si>
  <si>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</si>
  <si>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</si>
  <si>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</si>
  <si>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</si>
  <si>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</si>
  <si>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</si>
  <si>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</si>
  <si>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</si>
  <si>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</si>
  <si>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</si>
  <si>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</si>
  <si>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</si>
  <si>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</si>
  <si>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</si>
  <si>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</si>
  <si>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</si>
  <si>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</si>
  <si>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</si>
  <si>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</si>
  <si>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</si>
  <si>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</si>
  <si>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</si>
  <si>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</si>
  <si>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</si>
  <si>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</si>
  <si>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</si>
  <si>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</si>
  <si>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</si>
  <si>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</si>
  <si>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</si>
  <si>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</si>
  <si>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</si>
  <si>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</si>
  <si>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</si>
  <si>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</si>
  <si>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</si>
  <si>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</si>
  <si>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</si>
  <si>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</si>
  <si>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</si>
  <si>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</si>
  <si>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</si>
  <si>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</si>
  <si>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</si>
  <si>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</si>
  <si>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</si>
  <si>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</si>
  <si>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</si>
  <si>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</si>
  <si>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</si>
  <si>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</si>
  <si>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Share-I~UP</t>
    </r>
    <r>
      <rPr>
        <b/>
        <sz val="10"/>
        <color rgb="FFFF0000"/>
        <rFont val="Arial"/>
        <family val="2"/>
      </rPr>
      <t>~2025</t>
    </r>
  </si>
  <si>
    <r>
      <t>Share-I~UP</t>
    </r>
    <r>
      <rPr>
        <b/>
        <sz val="10"/>
        <color rgb="FFFF0000"/>
        <rFont val="Arial"/>
        <family val="2"/>
      </rPr>
      <t>~2030</t>
    </r>
  </si>
  <si>
    <r>
      <t>Share-I~UP</t>
    </r>
    <r>
      <rPr>
        <b/>
        <sz val="10"/>
        <color rgb="FFFF0000"/>
        <rFont val="Arial"/>
        <family val="2"/>
      </rPr>
      <t>~2035</t>
    </r>
  </si>
  <si>
    <r>
      <t>Share-I~UP</t>
    </r>
    <r>
      <rPr>
        <b/>
        <sz val="10"/>
        <color rgb="FFFF0000"/>
        <rFont val="Arial"/>
        <family val="2"/>
      </rPr>
      <t>~2040</t>
    </r>
  </si>
  <si>
    <r>
      <t>Share-I~UP</t>
    </r>
    <r>
      <rPr>
        <b/>
        <sz val="10"/>
        <color rgb="FFFF0000"/>
        <rFont val="Arial"/>
        <family val="2"/>
      </rPr>
      <t>~2045</t>
    </r>
  </si>
  <si>
    <t>Assume linear growth</t>
  </si>
  <si>
    <t>g</t>
  </si>
  <si>
    <t>IMPCoal</t>
  </si>
  <si>
    <t>MINCOAL</t>
  </si>
  <si>
    <t>Time variation</t>
  </si>
  <si>
    <t>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</si>
</sst>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34</xdr:row>
      <xdr:rowOff>65943</xdr:rowOff>
    </xdr:from>
    <xdr:to>
      <xdr:col>25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233</v>
      </c>
      <c r="G2" s="316"/>
      <c r="H2" s="316"/>
      <c r="I2" s="317"/>
      <c r="J2" s="321" t="s">
        <v>234</v>
      </c>
      <c r="K2" s="322"/>
      <c r="L2" s="322"/>
      <c r="M2" s="323"/>
      <c r="N2" s="315" t="s">
        <v>235</v>
      </c>
      <c r="O2" s="316"/>
      <c r="P2" s="316"/>
      <c r="Q2" s="316"/>
      <c r="R2" s="317"/>
      <c r="V2" s="174" t="s">
        <v>141</v>
      </c>
      <c r="W2" s="312" t="s">
        <v>236</v>
      </c>
      <c r="X2" s="313"/>
      <c r="Y2" s="313"/>
      <c r="Z2" s="313"/>
      <c r="AA2" s="314"/>
      <c r="AB2" s="312" t="s">
        <v>237</v>
      </c>
      <c r="AC2" s="313"/>
      <c r="AD2" s="313"/>
      <c r="AE2" s="313"/>
      <c r="AF2" s="314"/>
    </row>
    <row r="3" spans="1:32" ht="24.6" customHeight="1" thickBot="1" x14ac:dyDescent="0.3">
      <c r="A3" s="315" t="s">
        <v>238</v>
      </c>
      <c r="B3" s="316"/>
      <c r="C3" s="316"/>
      <c r="D3" s="316"/>
      <c r="E3" s="317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8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9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9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9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9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9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9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20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8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9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9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9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9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9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9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20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6" t="s">
        <v>327</v>
      </c>
      <c r="D1" s="326"/>
      <c r="E1" s="326"/>
      <c r="F1" s="326"/>
      <c r="G1" s="326" t="s">
        <v>328</v>
      </c>
      <c r="H1" s="326"/>
      <c r="I1" s="326"/>
      <c r="J1" s="326"/>
      <c r="K1" s="326" t="s">
        <v>329</v>
      </c>
      <c r="L1" s="326"/>
      <c r="M1" s="326" t="s">
        <v>330</v>
      </c>
      <c r="N1" s="326"/>
      <c r="O1" s="326" t="s">
        <v>331</v>
      </c>
      <c r="P1" s="326"/>
      <c r="Q1" s="326"/>
      <c r="R1" s="326" t="s">
        <v>331</v>
      </c>
      <c r="S1" s="326"/>
      <c r="T1" s="326"/>
      <c r="U1" s="326" t="s">
        <v>331</v>
      </c>
      <c r="V1" s="326"/>
      <c r="W1" s="326"/>
      <c r="X1" s="20" t="s">
        <v>332</v>
      </c>
      <c r="Y1" s="326" t="s">
        <v>333</v>
      </c>
      <c r="Z1" s="326"/>
      <c r="AA1" s="326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6" t="s">
        <v>335</v>
      </c>
      <c r="P2" s="326"/>
      <c r="Q2" s="326"/>
      <c r="R2" s="326" t="s">
        <v>338</v>
      </c>
      <c r="S2" s="326"/>
      <c r="T2" s="326"/>
      <c r="U2" s="326" t="s">
        <v>337</v>
      </c>
      <c r="V2" s="326"/>
      <c r="W2" s="326"/>
      <c r="X2" s="20" t="s">
        <v>111</v>
      </c>
      <c r="Y2" s="326" t="s">
        <v>339</v>
      </c>
      <c r="Z2" s="326"/>
      <c r="AA2" s="326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5" t="s">
        <v>389</v>
      </c>
      <c r="D42" s="325"/>
      <c r="E42" s="325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48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9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9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0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1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1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1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2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0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3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4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3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5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0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3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3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3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3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3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3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3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3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3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3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6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3"/>
      <c r="H26" s="5"/>
      <c r="I26" s="5"/>
      <c r="J26" s="5"/>
      <c r="K26" s="5"/>
    </row>
    <row r="27" spans="2:13" x14ac:dyDescent="0.25">
      <c r="D27" s="5"/>
      <c r="E27" s="5"/>
      <c r="F27" s="5"/>
      <c r="G27" s="273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3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3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3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3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3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3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3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3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3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3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3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3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3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9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9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430</v>
      </c>
      <c r="N51" t="s">
        <v>431</v>
      </c>
      <c r="O51" t="s">
        <v>432</v>
      </c>
      <c r="P51" t="s">
        <v>443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7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7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9" customFormat="1" x14ac:dyDescent="0.25">
      <c r="C54" s="299" t="s">
        <v>411</v>
      </c>
      <c r="D54" s="300">
        <f>'Energybalance history'!B69</f>
        <v>2533.3338888888889</v>
      </c>
      <c r="E54" s="300">
        <f>'Energybalance history'!C69</f>
        <v>2518.2216666666668</v>
      </c>
      <c r="F54" s="300">
        <f>'Energybalance history'!D69</f>
        <v>2531.5555555555557</v>
      </c>
      <c r="G54" s="301">
        <f>'Energybalance history'!E69</f>
        <v>2605.1200000000003</v>
      </c>
      <c r="H54" s="300">
        <f>'Energybalance history'!F69</f>
        <v>2791.9466666666667</v>
      </c>
      <c r="I54" s="302">
        <f t="shared" si="4"/>
        <v>1.0345078173552369</v>
      </c>
      <c r="J54" s="302">
        <f t="shared" si="5"/>
        <v>0.5</v>
      </c>
      <c r="K54" s="303">
        <f t="shared" si="6"/>
        <v>1.7107574131289605E-2</v>
      </c>
      <c r="L54" s="304">
        <f t="shared" si="7"/>
        <v>1.7253908677618446E-2</v>
      </c>
      <c r="M54" s="305">
        <f t="shared" si="8"/>
        <v>5.2949623400464496E-3</v>
      </c>
      <c r="N54" s="305">
        <f t="shared" si="3"/>
        <v>2.9058988764045113E-2</v>
      </c>
      <c r="O54" s="305">
        <f t="shared" si="3"/>
        <v>7.1715186504524242E-2</v>
      </c>
      <c r="P54" s="306">
        <f t="shared" si="9"/>
        <v>3.5356379202871935E-2</v>
      </c>
    </row>
    <row r="55" spans="2:16" s="291" customFormat="1" x14ac:dyDescent="0.25">
      <c r="C55" s="291" t="s">
        <v>414</v>
      </c>
      <c r="D55" s="292">
        <f>'Energybalance history'!B68</f>
        <v>2791.0050000000001</v>
      </c>
      <c r="E55" s="292">
        <f>'Energybalance history'!C68</f>
        <v>2430.2799722222217</v>
      </c>
      <c r="F55" s="292">
        <f>'Energybalance history'!D68</f>
        <v>2683.0269444444443</v>
      </c>
      <c r="G55" s="293">
        <f>'Energybalance history'!E68</f>
        <v>2861.5609722222221</v>
      </c>
      <c r="H55" s="292">
        <f>'Energybalance history'!F68</f>
        <v>3440.232361111111</v>
      </c>
      <c r="I55" s="294">
        <f t="shared" si="4"/>
        <v>1.1774614468001567</v>
      </c>
      <c r="J55" s="294">
        <f t="shared" si="5"/>
        <v>0.5</v>
      </c>
      <c r="K55" s="295">
        <f t="shared" si="6"/>
        <v>8.5108956188343576E-2</v>
      </c>
      <c r="L55" s="296">
        <f t="shared" si="7"/>
        <v>8.8730723400078371E-2</v>
      </c>
      <c r="M55" s="297">
        <f t="shared" si="8"/>
        <v>0.10399911743136059</v>
      </c>
      <c r="N55" s="297">
        <f t="shared" si="3"/>
        <v>6.6542018203527675E-2</v>
      </c>
      <c r="O55" s="297">
        <f t="shared" si="3"/>
        <v>0.20222228165192857</v>
      </c>
      <c r="P55" s="298">
        <f t="shared" si="9"/>
        <v>0.12425447242893894</v>
      </c>
    </row>
    <row r="56" spans="2:16" s="284" customFormat="1" x14ac:dyDescent="0.25">
      <c r="C56" s="284" t="s">
        <v>269</v>
      </c>
      <c r="D56" s="285">
        <f>D52+D53</f>
        <v>4447.650555555555</v>
      </c>
      <c r="E56" s="285">
        <f t="shared" ref="E56:H56" si="10">E52+E53</f>
        <v>3906.7316666666666</v>
      </c>
      <c r="F56" s="285">
        <f t="shared" si="10"/>
        <v>4859.4383333333335</v>
      </c>
      <c r="G56" s="286">
        <f t="shared" si="10"/>
        <v>7676.0611111111102</v>
      </c>
      <c r="H56" s="285">
        <f t="shared" si="10"/>
        <v>8151.0666666666657</v>
      </c>
      <c r="I56" s="287">
        <f t="shared" si="4"/>
        <v>1.9648293678845217</v>
      </c>
      <c r="J56" s="287">
        <f t="shared" si="5"/>
        <v>0.5</v>
      </c>
      <c r="K56" s="288">
        <f t="shared" si="6"/>
        <v>0.40172371310630317</v>
      </c>
      <c r="L56" s="289">
        <f t="shared" si="7"/>
        <v>0.48241468394226084</v>
      </c>
      <c r="M56" s="289">
        <f t="shared" si="8"/>
        <v>0.2438628367531428</v>
      </c>
      <c r="N56" s="289">
        <f t="shared" si="3"/>
        <v>0.57961899803463779</v>
      </c>
      <c r="O56" s="289">
        <f t="shared" si="3"/>
        <v>6.1881419217466149E-2</v>
      </c>
      <c r="P56" s="290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7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433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424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425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7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434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7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7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6" zoomScale="96" zoomScaleNormal="96" workbookViewId="0">
      <selection activeCell="I34" sqref="I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/>
      <c r="H23" s="49">
        <v>4.5449999999999999</v>
      </c>
      <c r="I23" s="89"/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/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/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/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5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5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5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5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5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5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5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5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5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5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5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58"/>
  <sheetViews>
    <sheetView topLeftCell="A6" zoomScale="118" zoomScaleNormal="118" workbookViewId="0">
      <selection activeCell="G29" sqref="G29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7" t="s">
        <v>82</v>
      </c>
      <c r="X5" s="157"/>
      <c r="Y5" s="157" t="s">
        <v>424</v>
      </c>
      <c r="Z5" s="157" t="s">
        <v>426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222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7" t="s">
        <v>82</v>
      </c>
      <c r="X8" s="157"/>
      <c r="Y8" s="157" t="s">
        <v>425</v>
      </c>
      <c r="Z8" s="157" t="s">
        <v>427</v>
      </c>
      <c r="AA8" s="252" t="s">
        <v>161</v>
      </c>
      <c r="AB8" s="92"/>
      <c r="AC8" s="92"/>
      <c r="AD8" s="92"/>
      <c r="AE8" s="92"/>
    </row>
    <row r="9" spans="2:31" x14ac:dyDescent="0.2">
      <c r="W9" s="157"/>
      <c r="X9" s="157"/>
      <c r="Y9" s="157"/>
      <c r="Z9" s="157"/>
      <c r="AA9" s="252"/>
      <c r="AB9" s="92"/>
      <c r="AC9" s="92"/>
      <c r="AD9" s="92"/>
      <c r="AE9" s="92"/>
    </row>
    <row r="10" spans="2:31" x14ac:dyDescent="0.2">
      <c r="W10" s="264" t="s">
        <v>82</v>
      </c>
      <c r="X10" s="264"/>
      <c r="Y10" s="264" t="s">
        <v>434</v>
      </c>
      <c r="Z10" s="264" t="s">
        <v>435</v>
      </c>
      <c r="AA10" s="252" t="s">
        <v>161</v>
      </c>
      <c r="AB10" s="92"/>
      <c r="AC10" s="92"/>
      <c r="AD10" s="92"/>
      <c r="AE10" s="92"/>
    </row>
    <row r="11" spans="2:31" x14ac:dyDescent="0.2">
      <c r="W11" s="252" t="s">
        <v>74</v>
      </c>
      <c r="X11" s="92"/>
      <c r="Y11" s="252" t="s">
        <v>437</v>
      </c>
      <c r="Z11" s="252" t="s">
        <v>439</v>
      </c>
      <c r="AA11" s="252" t="s">
        <v>161</v>
      </c>
      <c r="AB11" s="92"/>
      <c r="AC11" s="92"/>
      <c r="AD11" s="92"/>
      <c r="AE11" s="92"/>
    </row>
    <row r="12" spans="2:31" x14ac:dyDescent="0.2">
      <c r="W12" s="252"/>
      <c r="X12" s="92"/>
      <c r="Y12" s="252"/>
      <c r="Z12" s="252"/>
      <c r="AA12" s="252"/>
      <c r="AB12" s="92"/>
      <c r="AC12" s="92"/>
      <c r="AD12" s="92"/>
      <c r="AE12" s="92"/>
    </row>
    <row r="13" spans="2:31" x14ac:dyDescent="0.2">
      <c r="W13" s="252"/>
      <c r="X13" s="92"/>
      <c r="Y13" s="252"/>
      <c r="Z13" s="252"/>
      <c r="AA13" s="252"/>
      <c r="AB13" s="92"/>
      <c r="AC13" s="92"/>
      <c r="AD13" s="92"/>
      <c r="AE13" s="92"/>
    </row>
    <row r="14" spans="2:31" x14ac:dyDescent="0.2">
      <c r="W14" s="252"/>
      <c r="X14" s="92"/>
      <c r="Y14" s="252"/>
      <c r="Z14" s="252"/>
      <c r="AA14" s="252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440</v>
      </c>
      <c r="F17" s="98" t="s">
        <v>474</v>
      </c>
      <c r="G17" s="98" t="s">
        <v>475</v>
      </c>
      <c r="H17" s="98" t="s">
        <v>476</v>
      </c>
      <c r="I17" s="98" t="s">
        <v>477</v>
      </c>
      <c r="J17" s="98" t="s">
        <v>478</v>
      </c>
      <c r="K17" s="98" t="s">
        <v>479</v>
      </c>
      <c r="L17" s="98" t="s">
        <v>473</v>
      </c>
      <c r="M17" s="97" t="s">
        <v>105</v>
      </c>
      <c r="N17" s="97" t="s">
        <v>106</v>
      </c>
      <c r="O17" s="97" t="s">
        <v>107</v>
      </c>
      <c r="P17" s="97" t="s">
        <v>422</v>
      </c>
      <c r="Q17" s="97" t="s">
        <v>171</v>
      </c>
      <c r="R17" s="97" t="s">
        <v>172</v>
      </c>
      <c r="S17" s="97" t="s">
        <v>162</v>
      </c>
      <c r="T17" s="97" t="s">
        <v>470</v>
      </c>
      <c r="U17" s="253"/>
      <c r="V17" s="253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423</v>
      </c>
      <c r="Q18" s="99" t="s">
        <v>173</v>
      </c>
      <c r="R18" s="100" t="s">
        <v>174</v>
      </c>
      <c r="S18" s="99" t="s">
        <v>163</v>
      </c>
      <c r="T18" s="99" t="s">
        <v>471</v>
      </c>
      <c r="U18" s="254"/>
      <c r="V18" s="254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213</v>
      </c>
      <c r="F19" s="102"/>
      <c r="G19" s="102"/>
      <c r="H19" s="102"/>
      <c r="I19" s="102"/>
      <c r="J19" s="102"/>
      <c r="K19" s="102"/>
      <c r="L19" s="102"/>
      <c r="M19" s="102" t="s">
        <v>363</v>
      </c>
      <c r="N19" s="103" t="s">
        <v>363</v>
      </c>
      <c r="O19" s="102" t="s">
        <v>111</v>
      </c>
      <c r="P19" s="102"/>
      <c r="Q19" s="102"/>
      <c r="R19" s="102"/>
      <c r="S19" s="102"/>
      <c r="T19" s="102" t="s">
        <v>472</v>
      </c>
      <c r="U19" s="255"/>
      <c r="V19" s="255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MANHEATCOAL</v>
      </c>
      <c r="E20" s="107"/>
      <c r="F20" s="104">
        <v>0.59</v>
      </c>
      <c r="G20" s="311">
        <f>I56</f>
        <v>0.6339285714285714</v>
      </c>
      <c r="H20" s="311">
        <f t="shared" ref="H20:L20" si="0">J56</f>
        <v>0.70714285714285707</v>
      </c>
      <c r="I20" s="311">
        <f t="shared" si="0"/>
        <v>0.78035714285714286</v>
      </c>
      <c r="J20" s="311">
        <f t="shared" si="0"/>
        <v>0.85357142857142865</v>
      </c>
      <c r="K20" s="311">
        <f t="shared" si="0"/>
        <v>0.92678571428571432</v>
      </c>
      <c r="L20" s="311">
        <f t="shared" si="0"/>
        <v>1</v>
      </c>
      <c r="M20" s="105">
        <v>0.55000000000000004</v>
      </c>
      <c r="N20" s="105">
        <v>1</v>
      </c>
      <c r="O20" s="129">
        <v>30</v>
      </c>
      <c r="P20" s="129"/>
      <c r="Q20" s="106">
        <v>1515</v>
      </c>
      <c r="R20" s="106"/>
      <c r="S20" s="106">
        <v>8.76</v>
      </c>
      <c r="T20" s="112"/>
      <c r="U20" s="112"/>
      <c r="V20" s="112"/>
      <c r="W20" s="160" t="s">
        <v>438</v>
      </c>
      <c r="Y20" s="90" t="s">
        <v>152</v>
      </c>
      <c r="Z20" s="90" t="s">
        <v>214</v>
      </c>
      <c r="AA20" s="92" t="str">
        <f>$E$2</f>
        <v>GWh</v>
      </c>
      <c r="AB20" s="92" t="s">
        <v>153</v>
      </c>
      <c r="AC20" s="92"/>
      <c r="AD20" s="252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MANHEATCOAL</v>
      </c>
      <c r="E21" s="107"/>
      <c r="F21" s="104">
        <v>0.41</v>
      </c>
      <c r="G21" s="104">
        <f>I57</f>
        <v>0.36607142857142855</v>
      </c>
      <c r="H21" s="104">
        <f t="shared" ref="H21:L21" si="1">J57</f>
        <v>0.29285714285714282</v>
      </c>
      <c r="I21" s="104">
        <f t="shared" si="1"/>
        <v>0.21964285714285711</v>
      </c>
      <c r="J21" s="104">
        <f t="shared" si="1"/>
        <v>0.14642857142857141</v>
      </c>
      <c r="K21" s="104">
        <f t="shared" si="1"/>
        <v>7.3214285714285676E-2</v>
      </c>
      <c r="L21" s="104">
        <f t="shared" si="1"/>
        <v>0</v>
      </c>
      <c r="M21" s="105">
        <v>0.55000000000000004</v>
      </c>
      <c r="N21" s="105">
        <v>1</v>
      </c>
      <c r="O21" s="129">
        <v>30</v>
      </c>
      <c r="P21" s="129"/>
      <c r="Q21" s="106">
        <v>1515</v>
      </c>
      <c r="R21" s="106"/>
      <c r="S21" s="106">
        <v>8.76</v>
      </c>
      <c r="T21" s="112"/>
      <c r="U21" s="112"/>
      <c r="V21" s="112"/>
      <c r="W21" s="160" t="s">
        <v>438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92"/>
      <c r="AD21" s="252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MANHEATOIL</v>
      </c>
      <c r="E22" s="107"/>
      <c r="F22" s="104">
        <v>1</v>
      </c>
      <c r="G22" s="104"/>
      <c r="H22" s="104"/>
      <c r="I22" s="104"/>
      <c r="J22" s="104"/>
      <c r="K22" s="104"/>
      <c r="L22" s="104">
        <v>1</v>
      </c>
      <c r="M22" s="105">
        <v>0.8</v>
      </c>
      <c r="N22" s="107">
        <v>1</v>
      </c>
      <c r="O22" s="106">
        <v>30</v>
      </c>
      <c r="P22" s="129"/>
      <c r="Q22" s="106">
        <v>1515</v>
      </c>
      <c r="R22" s="106"/>
      <c r="S22" s="106">
        <v>8.76</v>
      </c>
      <c r="T22" s="112"/>
      <c r="U22" s="112"/>
      <c r="V22" s="112"/>
      <c r="W22" s="90" t="s">
        <v>112</v>
      </c>
      <c r="Y22" s="160" t="s">
        <v>166</v>
      </c>
      <c r="Z22" s="90" t="s">
        <v>219</v>
      </c>
      <c r="AA22" s="90" t="s">
        <v>161</v>
      </c>
      <c r="AB22" s="90" t="s">
        <v>153</v>
      </c>
      <c r="AC22" s="166" t="s">
        <v>225</v>
      </c>
    </row>
    <row r="23" spans="2:31" s="156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9">
        <v>1</v>
      </c>
      <c r="G23" s="159"/>
      <c r="H23" s="159"/>
      <c r="I23" s="159"/>
      <c r="J23" s="159"/>
      <c r="K23" s="159"/>
      <c r="L23" s="159"/>
      <c r="M23" s="156">
        <v>1</v>
      </c>
      <c r="N23" s="156">
        <v>1</v>
      </c>
      <c r="O23" s="156">
        <v>50</v>
      </c>
      <c r="S23" s="156">
        <v>8.76</v>
      </c>
    </row>
    <row r="24" spans="2:31" s="156" customFormat="1" x14ac:dyDescent="0.2">
      <c r="B24" s="96" t="s">
        <v>152</v>
      </c>
      <c r="C24" s="157"/>
      <c r="D24" s="252" t="s">
        <v>469</v>
      </c>
      <c r="E24" s="158"/>
      <c r="F24" s="159"/>
      <c r="G24" s="159"/>
      <c r="H24" s="159"/>
      <c r="I24" s="159"/>
      <c r="J24" s="159"/>
      <c r="K24" s="159"/>
      <c r="L24" s="159"/>
      <c r="T24" s="137">
        <v>0.34100000000000003</v>
      </c>
      <c r="AA24" s="96"/>
      <c r="AB24" s="96"/>
    </row>
    <row r="25" spans="2:31" s="156" customFormat="1" x14ac:dyDescent="0.2">
      <c r="B25" s="96" t="s">
        <v>154</v>
      </c>
      <c r="C25" s="157"/>
      <c r="D25" s="252" t="s">
        <v>469</v>
      </c>
      <c r="E25" s="158"/>
      <c r="F25" s="159"/>
      <c r="G25" s="159"/>
      <c r="H25" s="159"/>
      <c r="I25" s="159"/>
      <c r="J25" s="159"/>
      <c r="K25" s="159"/>
      <c r="L25" s="159"/>
      <c r="T25" s="137">
        <v>0.25900000000000001</v>
      </c>
      <c r="AA25" s="96"/>
      <c r="AB25" s="96"/>
    </row>
    <row r="26" spans="2:31" s="156" customFormat="1" x14ac:dyDescent="0.2">
      <c r="W26" s="156" t="s">
        <v>438</v>
      </c>
      <c r="Y26" s="156" t="s">
        <v>437</v>
      </c>
      <c r="Z26" s="156" t="s">
        <v>436</v>
      </c>
      <c r="AA26" s="96" t="s">
        <v>161</v>
      </c>
      <c r="AB26" s="96" t="s">
        <v>153</v>
      </c>
      <c r="AC26" s="167"/>
    </row>
    <row r="27" spans="2:31" s="156" customFormat="1" x14ac:dyDescent="0.2">
      <c r="AB27" s="96"/>
    </row>
    <row r="28" spans="2:31" s="112" customFormat="1" x14ac:dyDescent="0.2">
      <c r="B28" s="160"/>
      <c r="C28" s="92"/>
      <c r="D28" s="92"/>
      <c r="E28" s="158"/>
      <c r="F28" s="159"/>
      <c r="G28" s="159"/>
      <c r="H28" s="159"/>
      <c r="I28" s="159"/>
      <c r="J28" s="159"/>
      <c r="K28" s="159"/>
      <c r="L28" s="159"/>
      <c r="M28" s="156"/>
      <c r="N28" s="156"/>
      <c r="O28" s="156"/>
      <c r="P28" s="156"/>
      <c r="Q28" s="156"/>
    </row>
    <row r="29" spans="2:31" x14ac:dyDescent="0.2">
      <c r="B29" s="160"/>
      <c r="C29" s="92"/>
      <c r="D29" s="92"/>
      <c r="E29" s="158"/>
      <c r="F29" s="159"/>
      <c r="G29" s="159"/>
      <c r="H29" s="159"/>
      <c r="I29" s="159"/>
      <c r="J29" s="159"/>
      <c r="K29" s="159"/>
      <c r="L29" s="159"/>
      <c r="M29" s="156"/>
      <c r="N29" s="156"/>
      <c r="O29" s="156"/>
      <c r="P29" s="156"/>
      <c r="Q29" s="156"/>
    </row>
    <row r="30" spans="2:31" x14ac:dyDescent="0.2">
      <c r="B30" s="160"/>
      <c r="C30" s="92"/>
      <c r="D30" s="157"/>
      <c r="E30" s="158"/>
      <c r="F30" s="159"/>
      <c r="G30" s="159"/>
      <c r="H30" s="159"/>
      <c r="I30" s="159"/>
      <c r="J30" s="159"/>
      <c r="K30" s="159"/>
      <c r="L30" s="159"/>
      <c r="M30" s="156">
        <v>2022</v>
      </c>
      <c r="N30" s="156">
        <v>2022</v>
      </c>
      <c r="O30" s="156">
        <v>2022</v>
      </c>
      <c r="P30" s="156"/>
      <c r="Q30" s="156" t="s">
        <v>444</v>
      </c>
    </row>
    <row r="31" spans="2:31" x14ac:dyDescent="0.2">
      <c r="E31" s="160" t="s">
        <v>441</v>
      </c>
      <c r="F31" s="108"/>
      <c r="G31" s="108"/>
      <c r="H31" s="108"/>
      <c r="I31" s="108"/>
      <c r="J31" s="108"/>
      <c r="K31" s="108"/>
      <c r="L31" s="108"/>
      <c r="M31" s="90">
        <v>3157.661111111111</v>
      </c>
      <c r="N31" s="263">
        <f>M31/(M31+M32)</f>
        <v>0.41136476969163155</v>
      </c>
      <c r="Q31" s="263">
        <f>M31/M$35</f>
        <v>0.24025892702523827</v>
      </c>
      <c r="AA31" s="92"/>
      <c r="AB31" s="92"/>
      <c r="AC31" s="166"/>
    </row>
    <row r="32" spans="2:31" x14ac:dyDescent="0.2">
      <c r="E32" s="160" t="s">
        <v>442</v>
      </c>
      <c r="F32" s="108"/>
      <c r="G32" s="108"/>
      <c r="H32" s="108"/>
      <c r="I32" s="108"/>
      <c r="J32" s="108"/>
      <c r="K32" s="108"/>
      <c r="L32" s="108"/>
      <c r="M32" s="90">
        <v>4518.3999999999996</v>
      </c>
      <c r="N32" s="263">
        <f>M32/(M31+M32)</f>
        <v>0.58863523030836851</v>
      </c>
      <c r="O32" s="90">
        <f>(M31+M32)/(M31+M32+M33)</f>
        <v>0.74661277027941986</v>
      </c>
      <c r="P32" s="90">
        <f>M31+M32</f>
        <v>7676.0611111111102</v>
      </c>
      <c r="Q32" s="263">
        <f t="shared" ref="Q32:Q34" si="2">M32/M$35</f>
        <v>0.34379431410511396</v>
      </c>
      <c r="X32" s="112"/>
      <c r="Z32" s="112"/>
      <c r="AA32" s="113"/>
      <c r="AB32" s="113"/>
    </row>
    <row r="33" spans="2:19" x14ac:dyDescent="0.2">
      <c r="E33" s="160" t="s">
        <v>45</v>
      </c>
      <c r="F33" s="108"/>
      <c r="G33" s="108"/>
      <c r="H33" s="108"/>
      <c r="I33" s="108"/>
      <c r="J33" s="108"/>
      <c r="K33" s="108"/>
      <c r="L33" s="108"/>
      <c r="M33" s="90">
        <v>2605.1200000000003</v>
      </c>
      <c r="N33" s="109">
        <f>M33/M33</f>
        <v>1</v>
      </c>
      <c r="O33" s="90">
        <f>1-O32</f>
        <v>0.25338722972058014</v>
      </c>
      <c r="Q33" s="263">
        <f t="shared" si="2"/>
        <v>0.19821738747377715</v>
      </c>
    </row>
    <row r="34" spans="2:19" x14ac:dyDescent="0.2">
      <c r="E34" s="160" t="s">
        <v>46</v>
      </c>
      <c r="M34" s="90">
        <v>2861.5609722222221</v>
      </c>
      <c r="N34" s="109">
        <f>M34/M34</f>
        <v>1</v>
      </c>
      <c r="O34" s="108">
        <f>N34</f>
        <v>1</v>
      </c>
      <c r="Q34" s="263">
        <f t="shared" si="2"/>
        <v>0.21772937139587065</v>
      </c>
    </row>
    <row r="35" spans="2:19" x14ac:dyDescent="0.2">
      <c r="B35" s="106"/>
      <c r="C35" s="90" t="s">
        <v>98</v>
      </c>
      <c r="M35" s="90">
        <v>13142.742083333333</v>
      </c>
      <c r="N35" s="109"/>
      <c r="Q35" s="90">
        <f>SUM(Q31:Q34)</f>
        <v>1</v>
      </c>
    </row>
    <row r="36" spans="2:19" x14ac:dyDescent="0.2">
      <c r="B36" s="110"/>
      <c r="C36" s="90" t="s">
        <v>99</v>
      </c>
      <c r="N36" s="109"/>
    </row>
    <row r="37" spans="2:19" x14ac:dyDescent="0.2">
      <c r="E37" s="90" t="s">
        <v>210</v>
      </c>
      <c r="F37" s="90" t="s">
        <v>212</v>
      </c>
      <c r="N37" s="109"/>
    </row>
    <row r="39" spans="2:19" x14ac:dyDescent="0.2">
      <c r="E39" s="90" t="s">
        <v>211</v>
      </c>
      <c r="F39" s="90">
        <f>24*365</f>
        <v>8760</v>
      </c>
    </row>
    <row r="40" spans="2:19" x14ac:dyDescent="0.2">
      <c r="E40" s="21"/>
      <c r="M40" s="90">
        <f>M31+M32+M33</f>
        <v>10281.181111111111</v>
      </c>
    </row>
    <row r="43" spans="2:19" x14ac:dyDescent="0.2">
      <c r="B43" s="96" t="str">
        <f>Y26</f>
        <v>PHEAT</v>
      </c>
      <c r="C43" s="157" t="str">
        <f>DemTechs_INDF!D20</f>
        <v>MANHEATCOAL</v>
      </c>
      <c r="D43" s="92" t="str">
        <f>Y10</f>
        <v>MANHEAT</v>
      </c>
      <c r="E43" s="158"/>
      <c r="F43" s="159">
        <f>O32</f>
        <v>0.74661277027941986</v>
      </c>
      <c r="G43" s="159"/>
      <c r="H43" s="159"/>
      <c r="I43" s="159"/>
      <c r="J43" s="159"/>
      <c r="K43" s="159"/>
      <c r="L43" s="159">
        <v>0.5</v>
      </c>
      <c r="M43" s="156">
        <v>1</v>
      </c>
      <c r="N43" s="156">
        <v>1</v>
      </c>
      <c r="O43" s="156">
        <v>50</v>
      </c>
      <c r="P43" s="156"/>
      <c r="Q43" s="156"/>
      <c r="R43" s="156"/>
      <c r="S43" s="156">
        <v>8.76</v>
      </c>
    </row>
    <row r="44" spans="2:19" x14ac:dyDescent="0.2">
      <c r="B44" s="96" t="str">
        <f>Y26</f>
        <v>PHEAT</v>
      </c>
      <c r="C44" s="157" t="str">
        <f>D22</f>
        <v>MANHEATOIL</v>
      </c>
      <c r="D44" s="92" t="str">
        <f>Y10</f>
        <v>MANHEAT</v>
      </c>
      <c r="E44" s="158"/>
      <c r="F44" s="159">
        <f>O33</f>
        <v>0.25338722972058014</v>
      </c>
      <c r="G44" s="159"/>
      <c r="H44" s="159"/>
      <c r="I44" s="159"/>
      <c r="J44" s="159"/>
      <c r="K44" s="159"/>
      <c r="L44" s="159">
        <v>0.5</v>
      </c>
      <c r="M44" s="156">
        <v>1</v>
      </c>
      <c r="N44" s="156">
        <v>1</v>
      </c>
      <c r="O44" s="156">
        <v>50</v>
      </c>
      <c r="P44" s="156"/>
      <c r="Q44" s="156"/>
      <c r="R44" s="156"/>
      <c r="S44" s="156">
        <v>8.76</v>
      </c>
    </row>
    <row r="47" spans="2:19" x14ac:dyDescent="0.2">
      <c r="G47" s="90">
        <v>2022</v>
      </c>
      <c r="H47" s="90">
        <v>2050</v>
      </c>
    </row>
    <row r="48" spans="2:19" x14ac:dyDescent="0.2">
      <c r="G48" s="90">
        <v>0.41</v>
      </c>
      <c r="H48" s="309">
        <v>0</v>
      </c>
      <c r="I48" s="310"/>
    </row>
    <row r="49" spans="6:14" x14ac:dyDescent="0.2">
      <c r="G49" s="90">
        <v>0.59</v>
      </c>
      <c r="H49" s="90">
        <v>1</v>
      </c>
    </row>
    <row r="51" spans="6:14" x14ac:dyDescent="0.2">
      <c r="G51" s="160" t="s">
        <v>480</v>
      </c>
      <c r="I51" s="160" t="s">
        <v>481</v>
      </c>
    </row>
    <row r="52" spans="6:14" x14ac:dyDescent="0.2">
      <c r="G52" s="160" t="s">
        <v>484</v>
      </c>
      <c r="H52" s="90">
        <f>H47-G47</f>
        <v>28</v>
      </c>
    </row>
    <row r="53" spans="6:14" s="96" customFormat="1" x14ac:dyDescent="0.2">
      <c r="F53" s="96" t="s">
        <v>482</v>
      </c>
      <c r="G53" s="96" t="s">
        <v>485</v>
      </c>
      <c r="H53" s="158">
        <f>H48-G48</f>
        <v>-0.41</v>
      </c>
      <c r="I53" s="96">
        <f>H53/H52</f>
        <v>-1.4642857142857141E-2</v>
      </c>
    </row>
    <row r="54" spans="6:14" x14ac:dyDescent="0.2">
      <c r="F54" s="160" t="s">
        <v>483</v>
      </c>
      <c r="G54" s="160" t="s">
        <v>485</v>
      </c>
      <c r="H54" s="90">
        <f>H49-G49</f>
        <v>0.41000000000000003</v>
      </c>
    </row>
    <row r="55" spans="6:14" x14ac:dyDescent="0.2">
      <c r="H55" s="90">
        <v>2022</v>
      </c>
      <c r="I55" s="90">
        <v>2025</v>
      </c>
      <c r="J55" s="90">
        <v>2030</v>
      </c>
      <c r="K55" s="90">
        <v>2035</v>
      </c>
      <c r="L55" s="90">
        <v>2040</v>
      </c>
      <c r="M55" s="90">
        <v>2045</v>
      </c>
      <c r="N55" s="90">
        <v>2050</v>
      </c>
    </row>
    <row r="56" spans="6:14" x14ac:dyDescent="0.2">
      <c r="F56" s="160" t="s">
        <v>483</v>
      </c>
      <c r="H56" s="90">
        <f>G49</f>
        <v>0.59</v>
      </c>
      <c r="I56" s="90">
        <f t="shared" ref="I56:N56" si="3">$H$56+$H$54*(I55-$H$55)/28</f>
        <v>0.6339285714285714</v>
      </c>
      <c r="J56" s="90">
        <f t="shared" si="3"/>
        <v>0.70714285714285707</v>
      </c>
      <c r="K56" s="90">
        <f t="shared" si="3"/>
        <v>0.78035714285714286</v>
      </c>
      <c r="L56" s="90">
        <f t="shared" si="3"/>
        <v>0.85357142857142865</v>
      </c>
      <c r="M56" s="90">
        <f t="shared" si="3"/>
        <v>0.92678571428571432</v>
      </c>
      <c r="N56" s="90">
        <f t="shared" si="3"/>
        <v>1</v>
      </c>
    </row>
    <row r="57" spans="6:14" x14ac:dyDescent="0.2">
      <c r="F57" s="160" t="s">
        <v>442</v>
      </c>
      <c r="H57" s="107">
        <v>0.41</v>
      </c>
      <c r="I57" s="90">
        <f t="shared" ref="I57:N57" si="4">$H$57+$H$53*(I55-$H$55)/28</f>
        <v>0.36607142857142855</v>
      </c>
      <c r="J57" s="90">
        <f t="shared" si="4"/>
        <v>0.29285714285714282</v>
      </c>
      <c r="K57" s="90">
        <f t="shared" si="4"/>
        <v>0.21964285714285711</v>
      </c>
      <c r="L57" s="90">
        <f t="shared" si="4"/>
        <v>0.14642857142857141</v>
      </c>
      <c r="M57" s="90">
        <f t="shared" si="4"/>
        <v>7.3214285714285676E-2</v>
      </c>
      <c r="N57" s="90">
        <f t="shared" si="4"/>
        <v>0</v>
      </c>
    </row>
    <row r="58" spans="6:14" x14ac:dyDescent="0.2">
      <c r="H58" s="90">
        <f>SUM(H56:H57)</f>
        <v>1</v>
      </c>
      <c r="I58" s="90">
        <f t="shared" ref="I58:J58" si="5">SUM(I56:I57)</f>
        <v>1</v>
      </c>
      <c r="J58" s="90">
        <f t="shared" si="5"/>
        <v>0.99999999999999989</v>
      </c>
      <c r="K58" s="90">
        <f t="shared" ref="K58" si="6">SUM(K56:K57)</f>
        <v>1</v>
      </c>
      <c r="L58" s="90">
        <f t="shared" ref="L58" si="7">SUM(L56:L57)</f>
        <v>1</v>
      </c>
      <c r="M58" s="90">
        <f t="shared" ref="M58" si="8">SUM(M56:M57)</f>
        <v>1</v>
      </c>
      <c r="N58" s="90">
        <f t="shared" ref="N58" si="9">SUM(N56:N57)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B6"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8" t="s">
        <v>180</v>
      </c>
      <c r="C9" s="278" t="str">
        <f>C18</f>
        <v>MANHEATOIL</v>
      </c>
      <c r="D9" s="278" t="s">
        <v>161</v>
      </c>
      <c r="E9" s="279">
        <f>E18</f>
        <v>2605.1200000000003</v>
      </c>
      <c r="F9" s="279">
        <f t="shared" ref="F9:K9" si="0">F18</f>
        <v>2891.3277478771038</v>
      </c>
      <c r="G9" s="279">
        <f t="shared" si="0"/>
        <v>3439.9065346715411</v>
      </c>
      <c r="H9" s="279">
        <f t="shared" si="0"/>
        <v>4092.5685356715676</v>
      </c>
      <c r="I9" s="279">
        <f t="shared" si="0"/>
        <v>4869.0617173318651</v>
      </c>
      <c r="J9" s="279">
        <f t="shared" si="0"/>
        <v>5792.8808767759392</v>
      </c>
      <c r="K9" s="279">
        <f t="shared" si="0"/>
        <v>6891.97853727455</v>
      </c>
      <c r="L9" s="145"/>
      <c r="M9" s="147"/>
      <c r="N9" s="268"/>
      <c r="O9" s="9" t="s">
        <v>87</v>
      </c>
      <c r="P9" s="9"/>
      <c r="Q9" s="9"/>
      <c r="R9" s="9"/>
    </row>
    <row r="10" spans="2:18" s="20" customFormat="1" ht="14.25" x14ac:dyDescent="0.2">
      <c r="B10" s="278" t="s">
        <v>180</v>
      </c>
      <c r="C10" s="278" t="str">
        <f t="shared" ref="C10:C11" si="1">C19</f>
        <v>MANELC</v>
      </c>
      <c r="D10" s="278" t="s">
        <v>161</v>
      </c>
      <c r="E10" s="279">
        <f>E19</f>
        <v>2861.5609722222221</v>
      </c>
      <c r="F10" s="279">
        <f t="shared" ref="F10:K10" si="2">F19</f>
        <v>4066.2762112692412</v>
      </c>
      <c r="G10" s="279">
        <f t="shared" si="2"/>
        <v>7303.3143733654952</v>
      </c>
      <c r="H10" s="279">
        <f t="shared" si="2"/>
        <v>13117.259641237719</v>
      </c>
      <c r="I10" s="279">
        <f t="shared" si="2"/>
        <v>23559.508970768085</v>
      </c>
      <c r="J10" s="279">
        <f t="shared" si="2"/>
        <v>42314.513711289808</v>
      </c>
      <c r="K10" s="279">
        <f t="shared" si="2"/>
        <v>75999.804276250114</v>
      </c>
      <c r="L10" s="145"/>
      <c r="M10" s="147"/>
      <c r="N10" s="268"/>
      <c r="O10" s="1" t="s">
        <v>182</v>
      </c>
      <c r="P10" s="1" t="str">
        <f>DemTechs_INDF!Y$6</f>
        <v>MANELC</v>
      </c>
      <c r="Q10" s="90" t="s">
        <v>183</v>
      </c>
      <c r="R10" s="127">
        <v>0.75</v>
      </c>
    </row>
    <row r="11" spans="2:18" s="256" customFormat="1" ht="14.25" x14ac:dyDescent="0.2">
      <c r="B11" s="278" t="s">
        <v>180</v>
      </c>
      <c r="C11" s="278" t="str">
        <f t="shared" si="1"/>
        <v>MANHEATCOAL</v>
      </c>
      <c r="D11" s="278" t="s">
        <v>161</v>
      </c>
      <c r="E11" s="279">
        <f>E20</f>
        <v>7676.0611111111102</v>
      </c>
      <c r="F11" s="279">
        <f t="shared" ref="F11:K11" si="3">F20</f>
        <v>16675.142154970184</v>
      </c>
      <c r="G11" s="279">
        <f t="shared" si="3"/>
        <v>60760.51046806042</v>
      </c>
      <c r="H11" s="279">
        <f t="shared" si="3"/>
        <v>221397.7906772382</v>
      </c>
      <c r="I11" s="279">
        <f t="shared" si="3"/>
        <v>806724.32372879121</v>
      </c>
      <c r="J11" s="279">
        <f t="shared" si="3"/>
        <v>2939524.0688939015</v>
      </c>
      <c r="K11" s="279">
        <f t="shared" si="3"/>
        <v>10710972.134405939</v>
      </c>
      <c r="L11" s="145"/>
      <c r="M11" s="147"/>
      <c r="N11" s="280"/>
      <c r="O11" s="282" t="s">
        <v>182</v>
      </c>
      <c r="P11" s="282" t="str">
        <f>DemTechs_INDF!Y$6</f>
        <v>MANELC</v>
      </c>
      <c r="Q11" s="112" t="s">
        <v>184</v>
      </c>
      <c r="R11" s="283">
        <v>0.25</v>
      </c>
    </row>
    <row r="12" spans="2:18" x14ac:dyDescent="0.2"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7"/>
      <c r="O12" s="1" t="s">
        <v>182</v>
      </c>
      <c r="P12" s="1" t="str">
        <f>DemTechs_INDF!Y$6</f>
        <v>MANELC</v>
      </c>
      <c r="Q12" s="160" t="s">
        <v>445</v>
      </c>
      <c r="R12" s="127">
        <v>1.0416666666666666E-2</v>
      </c>
    </row>
    <row r="13" spans="2:18" x14ac:dyDescent="0.2"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7"/>
      <c r="O13" s="1" t="s">
        <v>182</v>
      </c>
      <c r="P13" s="1" t="str">
        <f>DemTechs_INDF!Y$6</f>
        <v>MANELC</v>
      </c>
      <c r="Q13" s="307" t="s">
        <v>446</v>
      </c>
      <c r="R13" s="128">
        <v>1.0416666666666666E-2</v>
      </c>
    </row>
    <row r="14" spans="2:18" x14ac:dyDescent="0.2"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7"/>
      <c r="O14" s="1" t="s">
        <v>182</v>
      </c>
      <c r="P14" s="1" t="str">
        <f>DemTechs_INDF!Y$6</f>
        <v>MANELC</v>
      </c>
      <c r="Q14" s="160" t="s">
        <v>447</v>
      </c>
      <c r="R14" s="127">
        <v>1.0416666666666666E-2</v>
      </c>
    </row>
    <row r="15" spans="2:18" ht="14.25" x14ac:dyDescent="0.2">
      <c r="B15" s="278" t="s">
        <v>180</v>
      </c>
      <c r="C15" s="278" t="s">
        <v>434</v>
      </c>
      <c r="D15" s="278" t="s">
        <v>161</v>
      </c>
      <c r="E15" s="279">
        <f>E18+E20</f>
        <v>10281.181111111111</v>
      </c>
      <c r="F15" s="279">
        <f t="shared" ref="F15:K15" si="4">E15*(1+$M$15)^(F6-E6)</f>
        <v>13059.628840978741</v>
      </c>
      <c r="G15" s="279">
        <f t="shared" si="4"/>
        <v>19457.059579707369</v>
      </c>
      <c r="H15" s="279">
        <f t="shared" si="4"/>
        <v>28988.355802300906</v>
      </c>
      <c r="I15" s="279">
        <f t="shared" si="4"/>
        <v>43188.68268241336</v>
      </c>
      <c r="J15" s="279">
        <f t="shared" si="4"/>
        <v>64345.226219906523</v>
      </c>
      <c r="K15" s="279">
        <f t="shared" si="4"/>
        <v>95865.580521095617</v>
      </c>
      <c r="L15" s="266"/>
      <c r="M15" s="267">
        <f>EBF!P67</f>
        <v>8.3002040502737851E-2</v>
      </c>
      <c r="O15" s="1" t="s">
        <v>182</v>
      </c>
      <c r="P15" s="1" t="str">
        <f>DemTechs_INDF!Y$6</f>
        <v>MANELC</v>
      </c>
      <c r="Q15" s="307" t="s">
        <v>448</v>
      </c>
      <c r="R15" s="127">
        <v>1.0416666666666666E-2</v>
      </c>
    </row>
    <row r="16" spans="2:18" ht="14.25" x14ac:dyDescent="0.2">
      <c r="B16" s="278" t="s">
        <v>180</v>
      </c>
      <c r="C16" s="278" t="str">
        <f>C19</f>
        <v>MANELC</v>
      </c>
      <c r="D16" s="278" t="s">
        <v>161</v>
      </c>
      <c r="E16" s="279">
        <f>E19</f>
        <v>2861.5609722222221</v>
      </c>
      <c r="F16" s="279">
        <f t="shared" ref="F16:K16" si="5">E16*(1+$M$16)^(F6-E6)</f>
        <v>4066.2762112692412</v>
      </c>
      <c r="G16" s="279">
        <f t="shared" si="5"/>
        <v>7303.3143733654952</v>
      </c>
      <c r="H16" s="279">
        <f t="shared" si="5"/>
        <v>13117.259641237719</v>
      </c>
      <c r="I16" s="279">
        <f t="shared" si="5"/>
        <v>23559.508970768085</v>
      </c>
      <c r="J16" s="279">
        <f t="shared" si="5"/>
        <v>42314.513711289808</v>
      </c>
      <c r="K16" s="279">
        <f t="shared" si="5"/>
        <v>75999.804276250114</v>
      </c>
      <c r="L16" s="266"/>
      <c r="M16" s="267">
        <f>EBF!P68</f>
        <v>0.12425447242893894</v>
      </c>
      <c r="O16" s="1" t="s">
        <v>182</v>
      </c>
      <c r="P16" s="1" t="str">
        <f>DemTechs_INDF!Y$6</f>
        <v>MANELC</v>
      </c>
      <c r="Q16" s="160" t="s">
        <v>449</v>
      </c>
      <c r="R16" s="127">
        <v>1.0416666666666666E-2</v>
      </c>
    </row>
    <row r="17" spans="2:18" ht="13.5" thickBot="1" x14ac:dyDescent="0.25">
      <c r="B17" s="280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1"/>
      <c r="N17" s="5"/>
      <c r="O17" s="1" t="s">
        <v>182</v>
      </c>
      <c r="P17" s="1" t="str">
        <f>DemTechs_INDF!Y$6</f>
        <v>MANELC</v>
      </c>
      <c r="Q17" s="307" t="s">
        <v>450</v>
      </c>
      <c r="R17" s="128">
        <v>1.0416666666666666E-2</v>
      </c>
    </row>
    <row r="18" spans="2:18" ht="13.5" thickBot="1" x14ac:dyDescent="0.25">
      <c r="B18" s="120" t="s">
        <v>180</v>
      </c>
      <c r="C18" s="120" t="str">
        <f>DemTechs_INDF!Y5</f>
        <v>MANHEATOIL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2891.3277478771038</v>
      </c>
      <c r="G18" s="122">
        <f t="shared" si="6"/>
        <v>3439.9065346715411</v>
      </c>
      <c r="H18" s="122">
        <f t="shared" si="6"/>
        <v>4092.5685356715676</v>
      </c>
      <c r="I18" s="122">
        <f t="shared" si="6"/>
        <v>4869.0617173318651</v>
      </c>
      <c r="J18" s="122">
        <f t="shared" si="6"/>
        <v>5792.8808767759392</v>
      </c>
      <c r="K18" s="122">
        <f t="shared" si="6"/>
        <v>6891.97853727455</v>
      </c>
      <c r="M18" s="149">
        <f>EBF!P54</f>
        <v>3.5356379202871935E-2</v>
      </c>
      <c r="O18" s="1" t="s">
        <v>182</v>
      </c>
      <c r="P18" s="1" t="str">
        <f>DemTechs_INDF!Y$6</f>
        <v>MANELC</v>
      </c>
      <c r="Q18" s="160" t="s">
        <v>451</v>
      </c>
      <c r="R18" s="127">
        <v>1.0416666666666666E-2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4066.2762112692412</v>
      </c>
      <c r="G19" s="122">
        <f t="shared" si="7"/>
        <v>7303.3143733654952</v>
      </c>
      <c r="H19" s="122">
        <f t="shared" si="7"/>
        <v>13117.259641237719</v>
      </c>
      <c r="I19" s="122">
        <f t="shared" si="7"/>
        <v>23559.508970768085</v>
      </c>
      <c r="J19" s="122">
        <f t="shared" si="7"/>
        <v>42314.513711289808</v>
      </c>
      <c r="K19" s="122">
        <f t="shared" si="7"/>
        <v>75999.804276250114</v>
      </c>
      <c r="M19" s="150">
        <f>EBF!P55</f>
        <v>0.12425447242893894</v>
      </c>
      <c r="O19" s="1" t="s">
        <v>182</v>
      </c>
      <c r="P19" s="1" t="str">
        <f>DemTechs_INDF!Y$6</f>
        <v>MANELC</v>
      </c>
      <c r="Q19" s="307" t="s">
        <v>452</v>
      </c>
      <c r="R19" s="127">
        <v>1.0416666666666666E-2</v>
      </c>
    </row>
    <row r="20" spans="2:18" ht="13.5" thickBot="1" x14ac:dyDescent="0.25">
      <c r="B20" s="138" t="s">
        <v>180</v>
      </c>
      <c r="C20" s="120" t="str">
        <f>DemTechs_INDF!Y8</f>
        <v>MANHEATCOAL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16675.142154970184</v>
      </c>
      <c r="G20" s="122">
        <f t="shared" si="8"/>
        <v>60760.51046806042</v>
      </c>
      <c r="H20" s="122">
        <f t="shared" si="8"/>
        <v>221397.7906772382</v>
      </c>
      <c r="I20" s="122">
        <f t="shared" si="8"/>
        <v>806724.32372879121</v>
      </c>
      <c r="J20" s="122">
        <f t="shared" si="8"/>
        <v>2939524.0688939015</v>
      </c>
      <c r="K20" s="122">
        <f t="shared" si="8"/>
        <v>10710972.134405939</v>
      </c>
      <c r="M20" s="150">
        <f>EBF!P56</f>
        <v>0.29512108466841558</v>
      </c>
      <c r="O20" s="1" t="s">
        <v>182</v>
      </c>
      <c r="P20" s="1" t="str">
        <f>DemTechs_INDF!Y$6</f>
        <v>MANELC</v>
      </c>
      <c r="Q20" s="160" t="s">
        <v>453</v>
      </c>
      <c r="R20" s="127">
        <v>1.0416666666666666E-2</v>
      </c>
    </row>
    <row r="21" spans="2:18" ht="13.5" thickBot="1" x14ac:dyDescent="0.25">
      <c r="B21" s="138"/>
      <c r="C21" s="120"/>
      <c r="D21" s="120"/>
      <c r="E21" s="122"/>
      <c r="F21" s="122"/>
      <c r="G21" s="122"/>
      <c r="H21" s="122"/>
      <c r="I21" s="122"/>
      <c r="J21" s="122"/>
      <c r="K21" s="122"/>
      <c r="M21" s="150"/>
      <c r="O21" s="1" t="s">
        <v>182</v>
      </c>
      <c r="P21" s="1" t="str">
        <f>DemTechs_INDF!Y$6</f>
        <v>MANELC</v>
      </c>
      <c r="Q21" s="307" t="s">
        <v>454</v>
      </c>
      <c r="R21" s="128">
        <v>1.0416666666666666E-2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8"/>
      <c r="O22" s="1" t="s">
        <v>182</v>
      </c>
      <c r="P22" s="1" t="str">
        <f>DemTechs_INDF!Y$6</f>
        <v>MANELC</v>
      </c>
      <c r="Q22" s="160" t="s">
        <v>455</v>
      </c>
      <c r="R22" s="127">
        <v>1.0416666666666666E-2</v>
      </c>
    </row>
    <row r="23" spans="2:18" x14ac:dyDescent="0.2">
      <c r="B23" s="120"/>
      <c r="C23" s="120"/>
      <c r="D23" s="138" t="s">
        <v>223</v>
      </c>
      <c r="E23" s="251">
        <f t="shared" ref="E23:K23" si="9">E19/(SUM(E18:E20))</f>
        <v>0.21772937139587065</v>
      </c>
      <c r="F23" s="251">
        <f t="shared" si="9"/>
        <v>0.17206109656635865</v>
      </c>
      <c r="G23" s="251">
        <f t="shared" si="9"/>
        <v>0.10213892663798628</v>
      </c>
      <c r="H23" s="251">
        <f t="shared" si="9"/>
        <v>5.4974186089404971E-2</v>
      </c>
      <c r="I23" s="251">
        <f t="shared" si="9"/>
        <v>2.820981538622036E-2</v>
      </c>
      <c r="J23" s="251">
        <f t="shared" si="9"/>
        <v>1.4163230715870792E-2</v>
      </c>
      <c r="K23" s="251">
        <f t="shared" si="9"/>
        <v>7.0410193105184087E-3</v>
      </c>
      <c r="M23" s="148"/>
      <c r="O23" s="1" t="s">
        <v>182</v>
      </c>
      <c r="P23" s="1" t="str">
        <f>DemTechs_INDF!Y$6</f>
        <v>MANELC</v>
      </c>
      <c r="Q23" s="307" t="s">
        <v>456</v>
      </c>
      <c r="R23" s="127">
        <v>1.0416666666666666E-2</v>
      </c>
    </row>
    <row r="24" spans="2:18" x14ac:dyDescent="0.2">
      <c r="B24" s="1"/>
      <c r="D24" t="s">
        <v>429</v>
      </c>
      <c r="E24" s="251">
        <f t="shared" ref="E24:K24" si="10">E18/(E18+E19+E20)</f>
        <v>0.19821738747377715</v>
      </c>
      <c r="F24" s="251">
        <f t="shared" si="10"/>
        <v>0.12234412936675308</v>
      </c>
      <c r="G24" s="251">
        <f t="shared" si="10"/>
        <v>4.8108070284866931E-2</v>
      </c>
      <c r="H24" s="251">
        <f t="shared" si="10"/>
        <v>1.7151877024401352E-2</v>
      </c>
      <c r="I24" s="251">
        <f t="shared" si="10"/>
        <v>5.8301440968260955E-3</v>
      </c>
      <c r="J24" s="251">
        <f t="shared" si="10"/>
        <v>1.9389543012860641E-3</v>
      </c>
      <c r="K24" s="251">
        <f t="shared" si="10"/>
        <v>6.3850893342093818E-4</v>
      </c>
      <c r="M24" s="148"/>
      <c r="O24" s="1" t="s">
        <v>182</v>
      </c>
      <c r="P24" s="1" t="str">
        <f>DemTechs_INDF!Y$6</f>
        <v>MANELC</v>
      </c>
      <c r="Q24" s="160" t="s">
        <v>457</v>
      </c>
      <c r="R24" s="127">
        <v>1.0416666666666666E-2</v>
      </c>
    </row>
    <row r="25" spans="2:18" x14ac:dyDescent="0.2">
      <c r="D25" t="s">
        <v>428</v>
      </c>
      <c r="E25" s="251">
        <f t="shared" ref="E25:K25" si="11">E20/(E18+E19+E20)</f>
        <v>0.58405324113035217</v>
      </c>
      <c r="F25" s="251">
        <f t="shared" si="11"/>
        <v>0.70559477406688831</v>
      </c>
      <c r="G25" s="251">
        <f t="shared" si="11"/>
        <v>0.84975300307714685</v>
      </c>
      <c r="H25" s="251">
        <f t="shared" si="11"/>
        <v>0.92787393688619357</v>
      </c>
      <c r="I25" s="251">
        <f t="shared" si="11"/>
        <v>0.9659600405169535</v>
      </c>
      <c r="J25" s="251">
        <f t="shared" si="11"/>
        <v>0.98389781498284312</v>
      </c>
      <c r="K25" s="251">
        <f t="shared" si="11"/>
        <v>0.99232047175606064</v>
      </c>
      <c r="O25" s="1" t="s">
        <v>182</v>
      </c>
      <c r="P25" s="1" t="str">
        <f>DemTechs_INDF!Y$6</f>
        <v>MANELC</v>
      </c>
      <c r="Q25" s="307" t="s">
        <v>458</v>
      </c>
      <c r="R25" s="128">
        <v>1.0416666666666666E-2</v>
      </c>
    </row>
    <row r="26" spans="2:18" x14ac:dyDescent="0.2">
      <c r="E26" s="262">
        <f>SUM(E23:E25)</f>
        <v>1</v>
      </c>
      <c r="F26" s="262">
        <f t="shared" ref="F26:K26" si="12">SUM(F23:F25)</f>
        <v>1</v>
      </c>
      <c r="G26" s="262">
        <f t="shared" si="12"/>
        <v>1</v>
      </c>
      <c r="H26" s="262">
        <f t="shared" si="12"/>
        <v>0.99999999999999989</v>
      </c>
      <c r="I26" s="262">
        <f t="shared" si="12"/>
        <v>1</v>
      </c>
      <c r="J26" s="262">
        <f t="shared" si="12"/>
        <v>1</v>
      </c>
      <c r="K26" s="262">
        <f t="shared" si="12"/>
        <v>1</v>
      </c>
      <c r="O26" s="1" t="s">
        <v>182</v>
      </c>
      <c r="P26" s="1" t="str">
        <f>DemTechs_INDF!Y$6</f>
        <v>MANELC</v>
      </c>
      <c r="Q26" s="160" t="s">
        <v>459</v>
      </c>
      <c r="R26" s="127">
        <v>1.0416666666666666E-2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7" t="s">
        <v>460</v>
      </c>
      <c r="R27" s="127">
        <v>1.0416666666666666E-2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60" t="s">
        <v>461</v>
      </c>
      <c r="R28" s="127">
        <v>1.0416666666666666E-2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7" t="s">
        <v>462</v>
      </c>
      <c r="R29" s="128">
        <v>1.0416666666666666E-2</v>
      </c>
    </row>
    <row r="30" spans="2:18" x14ac:dyDescent="0.2">
      <c r="O30" s="1" t="s">
        <v>182</v>
      </c>
      <c r="P30" s="1" t="str">
        <f>DemTechs_INDF!Y$6</f>
        <v>MANELC</v>
      </c>
      <c r="Q30" s="160" t="s">
        <v>463</v>
      </c>
      <c r="R30" s="127">
        <v>1.0416666666666666E-2</v>
      </c>
    </row>
    <row r="31" spans="2:18" x14ac:dyDescent="0.2">
      <c r="O31" s="1" t="s">
        <v>182</v>
      </c>
      <c r="P31" s="1" t="str">
        <f>DemTechs_INDF!Y$6</f>
        <v>MANELC</v>
      </c>
      <c r="Q31" s="307" t="s">
        <v>464</v>
      </c>
      <c r="R31" s="127">
        <v>1.0416666666666666E-2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60" t="s">
        <v>465</v>
      </c>
      <c r="R32" s="127">
        <v>1.0416666666666666E-2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7" t="s">
        <v>466</v>
      </c>
      <c r="R33" s="128">
        <v>1.0416666666666666E-2</v>
      </c>
    </row>
    <row r="34" spans="2:18" x14ac:dyDescent="0.2">
      <c r="O34" s="1" t="s">
        <v>182</v>
      </c>
      <c r="P34" s="1" t="str">
        <f>DemTechs_INDF!Y$6</f>
        <v>MANELC</v>
      </c>
      <c r="Q34" s="160" t="s">
        <v>467</v>
      </c>
      <c r="R34" s="127">
        <v>1.0416666666666666E-2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s="307" t="s">
        <v>468</v>
      </c>
      <c r="R35" s="127">
        <v>1.0416666666666666E-2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127">
        <v>3.125E-2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128">
        <v>3.125E-2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127">
        <v>3.125E-2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127">
        <v>3.125E-2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127">
        <v>3.125E-2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128">
        <v>3.125E-2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127">
        <v>3.125E-2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127">
        <v>3.125E-2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127">
        <v>3.125E-2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128">
        <v>3.125E-2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127">
        <v>3.125E-2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127">
        <v>3.125E-2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DemTechs_INDF!Y$6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DemTechs_INDF!Y$6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8"/>
      <c r="C8" s="308"/>
      <c r="D8" s="308"/>
      <c r="E8" s="308"/>
      <c r="F8" s="308"/>
      <c r="G8" s="308"/>
      <c r="H8" s="308"/>
      <c r="I8" s="1"/>
    </row>
    <row r="9" spans="2:9" x14ac:dyDescent="0.2">
      <c r="B9" s="136" t="str">
        <f>DemTechs_INDF!Y7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2025-11-14T14:28:51Z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