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08F557B-C681-4544-8000-A2EE7A284DCB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43" l="1"/>
  <c r="G31" i="143"/>
  <c r="E21" i="143"/>
  <c r="G32" i="143"/>
  <c r="E22" i="143"/>
  <c r="G33" i="143"/>
  <c r="I32" i="143"/>
  <c r="I33" i="143"/>
  <c r="F25" i="143"/>
  <c r="F24" i="143"/>
  <c r="E23" i="143"/>
  <c r="G34" i="143"/>
  <c r="G35" i="143"/>
  <c r="K32" i="143"/>
  <c r="K33" i="143"/>
  <c r="K34" i="143"/>
  <c r="K31" i="143"/>
  <c r="G40" i="143"/>
  <c r="K35" i="143"/>
  <c r="M14" i="145"/>
  <c r="M13" i="145"/>
  <c r="M12" i="145"/>
  <c r="P53" i="133"/>
  <c r="P54" i="133"/>
  <c r="P55" i="133"/>
  <c r="P56" i="133"/>
  <c r="P57" i="133"/>
  <c r="P52" i="133"/>
  <c r="J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4" i="143"/>
  <c r="I34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1" i="143"/>
  <c r="H32" i="143"/>
  <c r="J18" i="133"/>
  <c r="H33" i="143"/>
  <c r="D22" i="143"/>
  <c r="C25" i="143"/>
  <c r="B25" i="143"/>
  <c r="C24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1" i="143"/>
  <c r="C2" i="143"/>
  <c r="T7" i="143"/>
  <c r="B2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S7" i="143"/>
  <c r="B9" i="146"/>
  <c r="D40" i="133"/>
  <c r="E47" i="133"/>
  <c r="K47" i="133"/>
  <c r="D25" i="144"/>
  <c r="K17" i="144"/>
  <c r="K25" i="144"/>
  <c r="K5" i="144"/>
  <c r="K8" i="144"/>
  <c r="U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<sst xmlns="http://schemas.openxmlformats.org/spreadsheetml/2006/main" count="892" uniqueCount="470">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</sst>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34</xdr:row>
      <xdr:rowOff>65943</xdr:rowOff>
    </xdr:from>
    <xdr:to>
      <xdr:col>19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0" customWidth="1"/>
    <col min="2" max="2" width="11.140625" style="170" customWidth="1"/>
    <col min="3" max="3" width="10.42578125" style="170" customWidth="1"/>
    <col min="4" max="4" width="10.5703125" style="170" customWidth="1"/>
    <col min="5" max="5" width="12.140625" style="170" customWidth="1"/>
    <col min="6" max="6" width="11.5703125" style="170" customWidth="1"/>
    <col min="7" max="7" width="14.5703125" style="170" customWidth="1"/>
    <col min="8" max="8" width="10" style="170" customWidth="1"/>
    <col min="9" max="9" width="10" style="171" customWidth="1"/>
    <col min="10" max="10" width="9" style="172" customWidth="1"/>
    <col min="11" max="11" width="8.85546875" style="170"/>
    <col min="12" max="12" width="8.85546875" style="173"/>
    <col min="13" max="13" width="10" style="172" customWidth="1"/>
    <col min="14" max="14" width="8.85546875" style="170"/>
    <col min="15" max="15" width="11" style="171" customWidth="1"/>
    <col min="16" max="17" width="10" style="172" customWidth="1"/>
    <col min="18" max="16384" width="8.85546875" style="170"/>
  </cols>
  <sheetData>
    <row r="1" spans="1:32" ht="16.5" thickBot="1" x14ac:dyDescent="0.3">
      <c r="A1" s="169" t="s">
        <v>231</v>
      </c>
      <c r="B1" s="169"/>
      <c r="C1" s="169"/>
      <c r="D1" s="169"/>
      <c r="V1" s="174" t="s">
        <v>232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233</v>
      </c>
      <c r="G2" s="316"/>
      <c r="H2" s="316"/>
      <c r="I2" s="317"/>
      <c r="J2" s="321" t="s">
        <v>234</v>
      </c>
      <c r="K2" s="322"/>
      <c r="L2" s="322"/>
      <c r="M2" s="323"/>
      <c r="N2" s="315" t="s">
        <v>235</v>
      </c>
      <c r="O2" s="316"/>
      <c r="P2" s="316"/>
      <c r="Q2" s="316"/>
      <c r="R2" s="317"/>
      <c r="V2" s="175" t="s">
        <v>141</v>
      </c>
      <c r="W2" s="312" t="s">
        <v>236</v>
      </c>
      <c r="X2" s="313"/>
      <c r="Y2" s="313"/>
      <c r="Z2" s="313"/>
      <c r="AA2" s="314"/>
      <c r="AB2" s="312" t="s">
        <v>237</v>
      </c>
      <c r="AC2" s="313"/>
      <c r="AD2" s="313"/>
      <c r="AE2" s="313"/>
      <c r="AF2" s="314"/>
    </row>
    <row r="3" spans="1:32" ht="24.6" customHeight="1" thickBot="1" x14ac:dyDescent="0.3">
      <c r="A3" s="315" t="s">
        <v>238</v>
      </c>
      <c r="B3" s="316"/>
      <c r="C3" s="316"/>
      <c r="D3" s="316"/>
      <c r="E3" s="317"/>
      <c r="F3" s="176">
        <v>5</v>
      </c>
      <c r="G3" s="176" t="s">
        <v>239</v>
      </c>
      <c r="H3" s="176" t="s">
        <v>240</v>
      </c>
      <c r="I3" s="177">
        <v>10</v>
      </c>
      <c r="J3" s="178">
        <v>5</v>
      </c>
      <c r="K3" s="176" t="s">
        <v>239</v>
      </c>
      <c r="L3" s="179" t="s">
        <v>240</v>
      </c>
      <c r="M3" s="178">
        <v>10</v>
      </c>
      <c r="N3" s="176">
        <v>5</v>
      </c>
      <c r="O3" s="177" t="s">
        <v>239</v>
      </c>
      <c r="P3" s="178" t="s">
        <v>240</v>
      </c>
      <c r="Q3" s="178"/>
      <c r="R3" s="176">
        <v>10</v>
      </c>
      <c r="V3" s="180" t="s">
        <v>241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.75" thickBot="1" x14ac:dyDescent="0.3">
      <c r="A4" s="318" t="s">
        <v>242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.75" thickBot="1" x14ac:dyDescent="0.3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243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.75" thickBot="1" x14ac:dyDescent="0.3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.75" thickBot="1" x14ac:dyDescent="0.3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244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.75" thickBot="1" x14ac:dyDescent="0.3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.75" thickBot="1" x14ac:dyDescent="0.3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245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.75" thickBot="1" x14ac:dyDescent="0.3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.75" thickBot="1" x14ac:dyDescent="0.3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.75" thickBot="1" x14ac:dyDescent="0.3">
      <c r="A12" s="318" t="s">
        <v>246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.75" thickBot="1" x14ac:dyDescent="0.3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.75" thickBot="1" x14ac:dyDescent="0.3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.75" thickBot="1" x14ac:dyDescent="0.3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.75" thickBot="1" x14ac:dyDescent="0.3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.75" thickBot="1" x14ac:dyDescent="0.3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.75" thickBot="1" x14ac:dyDescent="0.3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.75" thickBot="1" x14ac:dyDescent="0.3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25">
      <c r="B23" s="192" t="s">
        <v>247</v>
      </c>
      <c r="C23" s="192"/>
      <c r="D23" s="192"/>
      <c r="E23" s="192" t="s">
        <v>248</v>
      </c>
      <c r="F23" s="192"/>
      <c r="G23" s="170" t="s">
        <v>249</v>
      </c>
    </row>
    <row r="24" spans="1:24" x14ac:dyDescent="0.2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25">
      <c r="A25" s="6" t="s">
        <v>250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4" customFormat="1" x14ac:dyDescent="0.25">
      <c r="A26" s="194" t="s">
        <v>253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254</v>
      </c>
    </row>
    <row r="27" spans="1:24" x14ac:dyDescent="0.25">
      <c r="A27" s="170" t="s">
        <v>255</v>
      </c>
      <c r="E27" s="170">
        <f>(E50+E52+E51)*0.2777778</f>
        <v>19062.637636122003</v>
      </c>
    </row>
    <row r="28" spans="1:24" s="196" customFormat="1" x14ac:dyDescent="0.25">
      <c r="A28" s="196" t="s">
        <v>256</v>
      </c>
      <c r="E28" s="197">
        <f>E26/E25</f>
        <v>0.1364528188872936</v>
      </c>
      <c r="O28" s="197">
        <f>O26/O25</f>
        <v>0</v>
      </c>
    </row>
    <row r="29" spans="1:24" x14ac:dyDescent="0.25">
      <c r="A29" s="170" t="s">
        <v>257</v>
      </c>
      <c r="E29" s="198">
        <f>1-E28</f>
        <v>0.86354718111270645</v>
      </c>
      <c r="O29" s="199">
        <f>1-O28</f>
        <v>1</v>
      </c>
    </row>
    <row r="30" spans="1:24" s="200" customFormat="1" x14ac:dyDescent="0.25">
      <c r="A30" s="200" t="s">
        <v>258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25">
      <c r="A31" s="170" t="s">
        <v>259</v>
      </c>
      <c r="E31" s="198"/>
      <c r="O31" s="199">
        <f>(O26-E26)/E26</f>
        <v>-1</v>
      </c>
    </row>
    <row r="32" spans="1:24" s="200" customFormat="1" x14ac:dyDescent="0.25">
      <c r="A32" s="200" t="s">
        <v>260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25">
      <c r="E33" s="198"/>
      <c r="O33" s="199"/>
    </row>
    <row r="34" spans="1:20" x14ac:dyDescent="0.25">
      <c r="E34" s="198"/>
      <c r="O34" s="199"/>
    </row>
    <row r="35" spans="1:20" x14ac:dyDescent="0.25">
      <c r="E35" s="198"/>
      <c r="O35" s="199"/>
    </row>
    <row r="36" spans="1:20" x14ac:dyDescent="0.25">
      <c r="E36" s="198"/>
      <c r="O36" s="199"/>
    </row>
    <row r="37" spans="1:20" s="202" customFormat="1" x14ac:dyDescent="0.2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25">
      <c r="A38" s="203" t="s">
        <v>261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262</v>
      </c>
    </row>
    <row r="39" spans="1:20" s="202" customFormat="1" x14ac:dyDescent="0.25">
      <c r="A39" s="202" t="s">
        <v>263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264</v>
      </c>
    </row>
    <row r="40" spans="1:20" s="202" customFormat="1" x14ac:dyDescent="0.2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265</v>
      </c>
    </row>
    <row r="41" spans="1:20" s="202" customFormat="1" x14ac:dyDescent="0.25">
      <c r="A41" s="202" t="s">
        <v>266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267</v>
      </c>
    </row>
    <row r="42" spans="1:20" s="202" customFormat="1" x14ac:dyDescent="0.25">
      <c r="A42" s="202" t="s">
        <v>268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25">
      <c r="A43" s="202" t="s">
        <v>269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25">
      <c r="I44" s="171"/>
      <c r="J44" s="172"/>
      <c r="L44" s="173"/>
      <c r="M44" s="172"/>
      <c r="O44" s="171"/>
      <c r="P44" s="172"/>
      <c r="Q44" s="172"/>
      <c r="R44" s="206"/>
    </row>
    <row r="45" spans="1:20" x14ac:dyDescent="0.25">
      <c r="A45" s="170" t="s">
        <v>270</v>
      </c>
      <c r="E45" s="208">
        <f>E39/(E38+E39)</f>
        <v>0.78227062033730832</v>
      </c>
    </row>
    <row r="46" spans="1:20" x14ac:dyDescent="0.25">
      <c r="A46" s="170" t="s">
        <v>271</v>
      </c>
      <c r="E46" s="198">
        <f>E38/(E38+E39)</f>
        <v>0.21772937966269174</v>
      </c>
    </row>
    <row r="47" spans="1:20" x14ac:dyDescent="0.25">
      <c r="A47" s="202" t="s">
        <v>272</v>
      </c>
      <c r="B47" s="202"/>
      <c r="C47" s="202"/>
      <c r="D47" s="202"/>
      <c r="O47" s="199">
        <f>(O38-E38)/E38</f>
        <v>-1</v>
      </c>
    </row>
    <row r="48" spans="1:20" s="209" customFormat="1" x14ac:dyDescent="0.2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25">
      <c r="A49" s="170" t="s">
        <v>273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25">
      <c r="A50" s="170" t="s">
        <v>274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25">
      <c r="A51" s="170" t="s">
        <v>275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25">
      <c r="A52" s="170" t="s">
        <v>276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25">
      <c r="A53" s="170" t="s">
        <v>277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25">
      <c r="B54" s="210"/>
      <c r="C54" s="210"/>
      <c r="D54" s="210"/>
      <c r="E54" s="210"/>
      <c r="F54" s="210"/>
    </row>
    <row r="55" spans="1:17" x14ac:dyDescent="0.25">
      <c r="A55" s="170" t="s">
        <v>278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25">
      <c r="A56" s="170" t="s">
        <v>279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25">
      <c r="A57" s="170" t="s">
        <v>280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25">
      <c r="A58" s="170" t="s">
        <v>281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25">
      <c r="B59" s="210"/>
      <c r="C59" s="210"/>
      <c r="D59" s="210"/>
      <c r="E59" s="211"/>
      <c r="F59" s="210"/>
    </row>
    <row r="60" spans="1:17" x14ac:dyDescent="0.25">
      <c r="A60" s="170" t="s">
        <v>282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25">
      <c r="A61" s="170" t="s">
        <v>283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25">
      <c r="E62" s="212"/>
    </row>
    <row r="63" spans="1:17" ht="47.25" x14ac:dyDescent="0.4">
      <c r="A63" s="213" t="s">
        <v>284</v>
      </c>
      <c r="G63" s="170" t="s">
        <v>285</v>
      </c>
      <c r="J63" s="214" t="s">
        <v>286</v>
      </c>
      <c r="O63" s="215"/>
      <c r="P63" s="215" t="s">
        <v>287</v>
      </c>
    </row>
    <row r="64" spans="1:17" s="209" customFormat="1" x14ac:dyDescent="0.2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25">
      <c r="A65" s="170" t="s">
        <v>288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289</v>
      </c>
      <c r="T65" s="210"/>
      <c r="U65" s="210"/>
      <c r="V65" s="210"/>
      <c r="W65" s="210"/>
      <c r="X65" s="210"/>
      <c r="Y65" s="210"/>
    </row>
    <row r="66" spans="1:25" x14ac:dyDescent="0.25">
      <c r="A66" s="170" t="s">
        <v>290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25">
      <c r="A67" s="170" t="s">
        <v>291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25">
      <c r="A68" s="221" t="s">
        <v>292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293</v>
      </c>
    </row>
    <row r="69" spans="1:25" s="223" customFormat="1" x14ac:dyDescent="0.25">
      <c r="A69" s="223" t="s">
        <v>294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25">
      <c r="A70" s="228" t="s">
        <v>295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25">
      <c r="A71" s="233" t="s">
        <v>296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25">
      <c r="A72" s="233" t="s">
        <v>297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2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25">
      <c r="A75" s="172" t="s">
        <v>298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25">
      <c r="A76" s="172" t="s">
        <v>299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25">
      <c r="A78" s="170" t="s">
        <v>300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25">
      <c r="A79" s="170" t="s">
        <v>301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25">
      <c r="A80" s="170" t="s">
        <v>302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25">
      <c r="A81" s="170" t="s">
        <v>303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25">
      <c r="A82" s="170" t="s">
        <v>304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25">
      <c r="A84" s="172" t="s">
        <v>305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25">
      <c r="A85" s="172" t="s">
        <v>306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25">
      <c r="A86" s="172" t="s">
        <v>307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25">
      <c r="A88" s="170" t="s">
        <v>308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25">
      <c r="A89" s="170" t="s">
        <v>309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25">
      <c r="A90" s="170" t="s">
        <v>310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25">
      <c r="A92" s="228" t="s">
        <v>311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25">
      <c r="A93" s="228" t="s">
        <v>312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25">
      <c r="A94" s="228" t="s">
        <v>313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2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25">
      <c r="A97" s="172" t="s">
        <v>314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25">
      <c r="A98" s="172" t="s">
        <v>315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25">
      <c r="A100" s="170" t="s">
        <v>316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25">
      <c r="A101" s="170" t="s">
        <v>317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25">
      <c r="A102" s="170" t="s">
        <v>318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25">
      <c r="A103" s="170" t="s">
        <v>319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35">
      <c r="A106" s="240" t="s">
        <v>320</v>
      </c>
    </row>
    <row r="107" spans="1:19" s="209" customFormat="1" x14ac:dyDescent="0.2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2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321</v>
      </c>
    </row>
    <row r="109" spans="1:19" x14ac:dyDescent="0.25">
      <c r="A109" s="170" t="s">
        <v>322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323</v>
      </c>
    </row>
    <row r="110" spans="1:19" x14ac:dyDescent="0.2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2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2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2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2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25">
      <c r="A137" s="170">
        <f>A104</f>
        <v>0</v>
      </c>
    </row>
    <row r="138" spans="1:1" x14ac:dyDescent="0.25">
      <c r="A138" s="170">
        <f>A105</f>
        <v>0</v>
      </c>
    </row>
    <row r="139" spans="1:1" x14ac:dyDescent="0.25">
      <c r="A139" s="170" t="str">
        <f>A106</f>
        <v>Structural Economic Growth scenario</v>
      </c>
    </row>
    <row r="140" spans="1:1" x14ac:dyDescent="0.2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1"/>
    <col min="2" max="6" width="7.5703125" style="170" customWidth="1"/>
    <col min="7" max="8" width="19.42578125" style="170"/>
    <col min="9" max="9" width="8" style="170" customWidth="1"/>
    <col min="10" max="10" width="20.140625" style="170" customWidth="1"/>
    <col min="11" max="11" width="23.140625" style="170" customWidth="1"/>
    <col min="12" max="12" width="20.140625" style="170" customWidth="1"/>
    <col min="13" max="14" width="24.140625" style="170" customWidth="1"/>
    <col min="15" max="16384" width="19.42578125" style="170"/>
  </cols>
  <sheetData>
    <row r="1" spans="1:14" ht="45" x14ac:dyDescent="0.25">
      <c r="I1" s="192" t="s">
        <v>96</v>
      </c>
      <c r="J1" s="241" t="s">
        <v>277</v>
      </c>
      <c r="K1" s="241" t="s">
        <v>292</v>
      </c>
      <c r="L1" s="241" t="s">
        <v>294</v>
      </c>
      <c r="M1" s="241" t="s">
        <v>295</v>
      </c>
      <c r="N1" s="241" t="s">
        <v>296</v>
      </c>
    </row>
    <row r="2" spans="1:14" x14ac:dyDescent="0.2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30" x14ac:dyDescent="0.25">
      <c r="A3" s="241" t="s">
        <v>277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60" x14ac:dyDescent="0.25">
      <c r="A4" s="241" t="s">
        <v>292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45" x14ac:dyDescent="0.25">
      <c r="A5" s="241" t="s">
        <v>294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60" x14ac:dyDescent="0.25">
      <c r="A6" s="241" t="s">
        <v>295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60" x14ac:dyDescent="0.25">
      <c r="A7" s="241" t="s">
        <v>296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324</v>
      </c>
    </row>
    <row r="8" spans="1:14" x14ac:dyDescent="0.2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2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2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2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2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25">
      <c r="I13" s="170" t="s">
        <v>325</v>
      </c>
      <c r="J13" s="243">
        <f>AVERAGE(J9:J12)</f>
        <v>4.4806529214302393E-2</v>
      </c>
    </row>
    <row r="19" spans="9:12" x14ac:dyDescent="0.2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25">
      <c r="J20" s="170">
        <f>J5+0.04*J5*27</f>
        <v>45915.595555555541</v>
      </c>
      <c r="K20" s="170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6" t="s">
        <v>327</v>
      </c>
      <c r="D1" s="326"/>
      <c r="E1" s="326"/>
      <c r="F1" s="326"/>
      <c r="G1" s="326" t="s">
        <v>328</v>
      </c>
      <c r="H1" s="326"/>
      <c r="I1" s="326"/>
      <c r="J1" s="326"/>
      <c r="K1" s="326" t="s">
        <v>329</v>
      </c>
      <c r="L1" s="326"/>
      <c r="M1" s="326" t="s">
        <v>330</v>
      </c>
      <c r="N1" s="326"/>
      <c r="O1" s="326" t="s">
        <v>331</v>
      </c>
      <c r="P1" s="326"/>
      <c r="Q1" s="326"/>
      <c r="R1" s="326" t="s">
        <v>331</v>
      </c>
      <c r="S1" s="326"/>
      <c r="T1" s="326"/>
      <c r="U1" s="326" t="s">
        <v>331</v>
      </c>
      <c r="V1" s="326"/>
      <c r="W1" s="326"/>
      <c r="X1" s="20" t="s">
        <v>332</v>
      </c>
      <c r="Y1" s="326" t="s">
        <v>333</v>
      </c>
      <c r="Z1" s="326"/>
      <c r="AA1" s="326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6" t="s">
        <v>335</v>
      </c>
      <c r="P2" s="326"/>
      <c r="Q2" s="326"/>
      <c r="R2" s="326" t="s">
        <v>338</v>
      </c>
      <c r="S2" s="326"/>
      <c r="T2" s="326"/>
      <c r="U2" s="326" t="s">
        <v>337</v>
      </c>
      <c r="V2" s="326"/>
      <c r="W2" s="326"/>
      <c r="X2" s="20" t="s">
        <v>111</v>
      </c>
      <c r="Y2" s="326" t="s">
        <v>339</v>
      </c>
      <c r="Z2" s="326"/>
      <c r="AA2" s="326"/>
    </row>
    <row r="3" spans="1:27" s="20" customFormat="1" x14ac:dyDescent="0.2">
      <c r="A3" s="20" t="s">
        <v>334</v>
      </c>
      <c r="O3" s="244" t="s">
        <v>340</v>
      </c>
      <c r="P3" s="244" t="s">
        <v>341</v>
      </c>
      <c r="Q3" s="244" t="s">
        <v>342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5">
        <v>0.219</v>
      </c>
      <c r="L4" s="245">
        <v>0.33800000000000002</v>
      </c>
      <c r="M4">
        <v>1.7</v>
      </c>
      <c r="N4">
        <v>1.34</v>
      </c>
      <c r="O4" s="112"/>
      <c r="P4" s="112"/>
      <c r="Q4" s="112"/>
      <c r="R4" s="112"/>
      <c r="S4" s="112">
        <v>0.17</v>
      </c>
      <c r="T4" s="112"/>
      <c r="U4" s="112"/>
      <c r="V4" s="112"/>
      <c r="W4" s="112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5"/>
      <c r="L5" s="245"/>
      <c r="O5" s="112"/>
      <c r="P5" s="112"/>
      <c r="Q5" s="112"/>
      <c r="R5" s="112"/>
      <c r="S5" s="112">
        <v>0.48</v>
      </c>
      <c r="T5" s="112"/>
      <c r="U5" s="112"/>
      <c r="V5" s="112"/>
      <c r="W5" s="112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5">
        <v>9.6000000000000002E-2</v>
      </c>
      <c r="L6" s="245">
        <v>0.25</v>
      </c>
      <c r="M6">
        <v>2.04</v>
      </c>
      <c r="N6">
        <v>1.52</v>
      </c>
      <c r="O6" s="112"/>
      <c r="P6" s="112"/>
      <c r="Q6" s="112">
        <v>0.44</v>
      </c>
      <c r="R6" s="112"/>
      <c r="S6" s="112">
        <v>0.34</v>
      </c>
      <c r="T6" s="112"/>
      <c r="U6" s="112"/>
      <c r="V6" s="112"/>
      <c r="W6" s="112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6" t="s">
        <v>347</v>
      </c>
      <c r="H7" s="246">
        <v>2.1000000000000001E-2</v>
      </c>
      <c r="I7" s="246"/>
      <c r="J7" t="s">
        <v>345</v>
      </c>
      <c r="O7" s="112"/>
      <c r="P7" s="112"/>
      <c r="Q7" s="112"/>
      <c r="R7" s="112"/>
      <c r="S7" s="112"/>
      <c r="T7" s="112"/>
      <c r="U7" s="112"/>
      <c r="V7" s="112"/>
      <c r="W7" s="112"/>
    </row>
    <row r="8" spans="1:27" ht="15.75" x14ac:dyDescent="0.25">
      <c r="A8" s="20" t="s">
        <v>334</v>
      </c>
      <c r="B8" s="246" t="s">
        <v>348</v>
      </c>
      <c r="H8" s="246">
        <v>7.9000000000000001E-2</v>
      </c>
      <c r="I8" s="246"/>
      <c r="J8" t="s">
        <v>345</v>
      </c>
      <c r="O8" s="112">
        <v>0.18</v>
      </c>
      <c r="P8" s="112">
        <v>0.3</v>
      </c>
      <c r="Q8" s="112">
        <f>(O8+P8)/2</f>
        <v>0.24</v>
      </c>
      <c r="R8" s="112"/>
      <c r="S8" s="112"/>
      <c r="T8" s="112"/>
      <c r="U8" s="112"/>
      <c r="V8" s="112"/>
      <c r="W8" s="112"/>
    </row>
    <row r="9" spans="1:27" ht="15.75" x14ac:dyDescent="0.25">
      <c r="A9" s="20" t="s">
        <v>334</v>
      </c>
      <c r="B9" s="153" t="s">
        <v>170</v>
      </c>
      <c r="H9" s="246">
        <v>0.11899999999999999</v>
      </c>
      <c r="I9" s="246"/>
      <c r="J9" t="s">
        <v>345</v>
      </c>
    </row>
    <row r="10" spans="1:27" x14ac:dyDescent="0.2">
      <c r="A10" s="20" t="s">
        <v>334</v>
      </c>
      <c r="B10" s="153" t="s">
        <v>349</v>
      </c>
      <c r="I10">
        <v>0.1</v>
      </c>
    </row>
    <row r="11" spans="1:27" x14ac:dyDescent="0.2">
      <c r="A11" s="20" t="s">
        <v>334</v>
      </c>
      <c r="B11" s="153" t="s">
        <v>350</v>
      </c>
      <c r="I11">
        <v>0.33</v>
      </c>
    </row>
    <row r="12" spans="1:27" ht="15.75" x14ac:dyDescent="0.25">
      <c r="A12" s="20" t="s">
        <v>334</v>
      </c>
      <c r="B12" s="153" t="s">
        <v>351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3" t="s">
        <v>352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3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7"/>
      <c r="D18" s="247"/>
      <c r="E18" s="247" t="s">
        <v>362</v>
      </c>
      <c r="F18" s="247"/>
      <c r="G18" t="s">
        <v>362</v>
      </c>
      <c r="H18" t="s">
        <v>362</v>
      </c>
      <c r="I18" s="247" t="s">
        <v>363</v>
      </c>
      <c r="J18" s="247" t="s">
        <v>363</v>
      </c>
      <c r="K18" s="247" t="s">
        <v>363</v>
      </c>
      <c r="L18" s="247"/>
      <c r="M18" s="247" t="s">
        <v>111</v>
      </c>
      <c r="N18" s="247" t="s">
        <v>364</v>
      </c>
      <c r="O18" s="247" t="s">
        <v>364</v>
      </c>
      <c r="P18" s="247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3" t="s">
        <v>388</v>
      </c>
      <c r="B42" s="153" t="s">
        <v>389</v>
      </c>
      <c r="C42" s="325" t="s">
        <v>389</v>
      </c>
      <c r="D42" s="325"/>
      <c r="E42" s="325"/>
    </row>
    <row r="43" spans="1:6" x14ac:dyDescent="0.2">
      <c r="A43" s="153"/>
      <c r="B43" s="153" t="s">
        <v>340</v>
      </c>
      <c r="C43" s="153" t="s">
        <v>340</v>
      </c>
      <c r="D43" s="153" t="s">
        <v>341</v>
      </c>
      <c r="E43" s="153" t="s">
        <v>325</v>
      </c>
      <c r="F43" s="153" t="s">
        <v>390</v>
      </c>
    </row>
    <row r="44" spans="1:6" x14ac:dyDescent="0.2">
      <c r="A44" s="153" t="s">
        <v>391</v>
      </c>
      <c r="B44" s="153" t="s">
        <v>392</v>
      </c>
      <c r="E44">
        <v>0.35</v>
      </c>
    </row>
    <row r="45" spans="1:6" s="154" customFormat="1" x14ac:dyDescent="0.2">
      <c r="A45" s="154" t="s">
        <v>393</v>
      </c>
      <c r="B45" s="154" t="s">
        <v>394</v>
      </c>
      <c r="C45" s="154">
        <v>0.8</v>
      </c>
      <c r="D45" s="154">
        <v>0.9</v>
      </c>
      <c r="E45" s="154">
        <v>0.84</v>
      </c>
    </row>
    <row r="46" spans="1:6" s="154" customFormat="1" x14ac:dyDescent="0.2">
      <c r="A46" s="154" t="s">
        <v>393</v>
      </c>
      <c r="B46" s="154" t="s">
        <v>395</v>
      </c>
      <c r="C46" s="154">
        <v>0.95</v>
      </c>
      <c r="D46" s="154">
        <v>1</v>
      </c>
      <c r="E46" s="154">
        <v>0.96</v>
      </c>
    </row>
    <row r="47" spans="1:6" x14ac:dyDescent="0.2">
      <c r="A47" t="s">
        <v>396</v>
      </c>
      <c r="B47" s="153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3" t="s">
        <v>397</v>
      </c>
      <c r="C48">
        <v>0.8</v>
      </c>
      <c r="D48">
        <v>0.81</v>
      </c>
    </row>
    <row r="49" spans="1:6" x14ac:dyDescent="0.2">
      <c r="A49" s="248" t="s">
        <v>399</v>
      </c>
      <c r="B49" s="153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8" t="s">
        <v>399</v>
      </c>
      <c r="B50" s="153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8" t="s">
        <v>402</v>
      </c>
      <c r="B51" s="153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3" t="s">
        <v>405</v>
      </c>
      <c r="E52">
        <v>0.51039999999999996</v>
      </c>
    </row>
    <row r="53" spans="1:6" x14ac:dyDescent="0.2">
      <c r="A53" s="248" t="s">
        <v>406</v>
      </c>
      <c r="B53" s="153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2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10:11" x14ac:dyDescent="0.2">
      <c r="J49" s="112"/>
      <c r="K49" s="115"/>
    </row>
    <row r="50" spans="10:11" x14ac:dyDescent="0.2">
      <c r="J50" s="112"/>
      <c r="K50" s="115"/>
    </row>
    <row r="51" spans="10:11" x14ac:dyDescent="0.2">
      <c r="J51" s="112"/>
      <c r="K51" s="115"/>
    </row>
    <row r="52" spans="10:11" x14ac:dyDescent="0.2">
      <c r="J52" s="112"/>
      <c r="K52" s="115"/>
    </row>
    <row r="53" spans="10:11" x14ac:dyDescent="0.2">
      <c r="J53" s="112"/>
      <c r="K53" s="115"/>
    </row>
    <row r="54" spans="10:11" x14ac:dyDescent="0.2">
      <c r="J54" s="112"/>
      <c r="K54" s="115"/>
    </row>
    <row r="55" spans="10:11" x14ac:dyDescent="0.2">
      <c r="J55" s="112"/>
      <c r="K55" s="115"/>
    </row>
    <row r="56" spans="10:11" x14ac:dyDescent="0.2">
      <c r="J56" s="112"/>
      <c r="K56" s="115"/>
    </row>
    <row r="57" spans="10:11" x14ac:dyDescent="0.2">
      <c r="J57" s="112"/>
      <c r="K57" s="115"/>
    </row>
    <row r="58" spans="10:11" x14ac:dyDescent="0.2">
      <c r="J58" s="112"/>
      <c r="K58" s="115"/>
    </row>
    <row r="59" spans="10:11" x14ac:dyDescent="0.2">
      <c r="J59" s="112"/>
      <c r="K59" s="115"/>
    </row>
    <row r="60" spans="10:11" x14ac:dyDescent="0.2">
      <c r="J60" s="112"/>
      <c r="K60" s="115"/>
    </row>
    <row r="61" spans="10:11" x14ac:dyDescent="0.2">
      <c r="J61" s="112"/>
      <c r="K61" s="115"/>
    </row>
    <row r="62" spans="10:11" x14ac:dyDescent="0.2">
      <c r="J62" s="112"/>
      <c r="K62" s="115"/>
    </row>
    <row r="63" spans="10:11" x14ac:dyDescent="0.2">
      <c r="J63" s="112"/>
      <c r="K63" s="115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O48" sqref="O48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2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2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2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3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4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4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4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5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3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6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6"/>
      <c r="E11" s="126">
        <f>'EBF TJ'!E11*0.2777778</f>
        <v>-2.0000001600000004</v>
      </c>
      <c r="F11" s="126">
        <f>'EBF TJ'!F11*0.2777778</f>
        <v>-16770.812452776001</v>
      </c>
      <c r="G11" s="277"/>
      <c r="H11" s="126"/>
      <c r="I11" s="126"/>
      <c r="J11" s="126"/>
      <c r="K11" s="126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6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8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3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6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6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6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2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6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6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6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6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6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6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6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9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6"/>
      <c r="H26" s="5"/>
      <c r="I26" s="5"/>
      <c r="J26" s="5"/>
      <c r="K26" s="5"/>
    </row>
    <row r="27" spans="2:13" x14ac:dyDescent="0.25">
      <c r="D27" s="5"/>
      <c r="E27" s="5"/>
      <c r="F27" s="5"/>
      <c r="G27" s="276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6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6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6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6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6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6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6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6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6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6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6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6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2">
        <f>E18/(E18)</f>
        <v>1</v>
      </c>
      <c r="F40" s="5"/>
      <c r="G40" s="276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2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2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2:16" x14ac:dyDescent="0.25">
      <c r="J49" s="112"/>
      <c r="K49" s="115"/>
    </row>
    <row r="50" spans="2:16" x14ac:dyDescent="0.25">
      <c r="J50" s="112"/>
      <c r="K50" s="115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416</v>
      </c>
      <c r="J51" s="112" t="s">
        <v>415</v>
      </c>
      <c r="K51" s="115" t="s">
        <v>285</v>
      </c>
      <c r="M51" t="s">
        <v>431</v>
      </c>
      <c r="N51" t="s">
        <v>432</v>
      </c>
      <c r="O51" t="s">
        <v>433</v>
      </c>
      <c r="P51" t="s">
        <v>444</v>
      </c>
    </row>
    <row r="52" spans="2:16" x14ac:dyDescent="0.25">
      <c r="C52" t="s">
        <v>409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80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2">
        <f>(I52-1)/(G$51-E$51)</f>
        <v>0.90627553083826973</v>
      </c>
      <c r="M52" s="112">
        <f>(F52/E52-1)^1</f>
        <v>7.7668387036312181E-2</v>
      </c>
      <c r="N52" s="112">
        <f t="shared" ref="N52:O57" si="3">(G52/F52-1)^1</f>
        <v>1.6098483499282326</v>
      </c>
      <c r="O52" s="112">
        <f t="shared" si="3"/>
        <v>0.10512693775574444</v>
      </c>
      <c r="P52" s="115">
        <f>(M52+N52+O52)/3</f>
        <v>0.59754789157342969</v>
      </c>
    </row>
    <row r="53" spans="2:16" x14ac:dyDescent="0.25">
      <c r="C53" t="s">
        <v>410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80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2">
        <f t="shared" ref="L53:L63" si="7">(I53-1)/(G$51-E$51)</f>
        <v>0.18638282810558948</v>
      </c>
      <c r="M53" s="112">
        <f t="shared" ref="M53:M57" si="8">(F53/E53-1)^1</f>
        <v>0.35993595777792642</v>
      </c>
      <c r="N53" s="112">
        <f t="shared" si="3"/>
        <v>9.4340460371500345E-3</v>
      </c>
      <c r="O53" s="112">
        <f t="shared" si="3"/>
        <v>0</v>
      </c>
      <c r="P53" s="115">
        <f t="shared" ref="P53:P57" si="9">(M53+N53+O53)/3</f>
        <v>0.12312333460502549</v>
      </c>
    </row>
    <row r="54" spans="2:16" s="302" customFormat="1" x14ac:dyDescent="0.25">
      <c r="C54" s="302" t="s">
        <v>411</v>
      </c>
      <c r="D54" s="303">
        <f>'Energybalance history'!B69</f>
        <v>2533.3338888888889</v>
      </c>
      <c r="E54" s="303">
        <f>'Energybalance history'!C69</f>
        <v>2518.2216666666668</v>
      </c>
      <c r="F54" s="303">
        <f>'Energybalance history'!D69</f>
        <v>2531.5555555555557</v>
      </c>
      <c r="G54" s="304">
        <f>'Energybalance history'!E69</f>
        <v>2605.1200000000003</v>
      </c>
      <c r="H54" s="303">
        <f>'Energybalance history'!F69</f>
        <v>2791.9466666666667</v>
      </c>
      <c r="I54" s="305">
        <f t="shared" si="4"/>
        <v>1.0345078173552369</v>
      </c>
      <c r="J54" s="305">
        <f t="shared" si="5"/>
        <v>0.5</v>
      </c>
      <c r="K54" s="306">
        <f t="shared" si="6"/>
        <v>1.7107574131289605E-2</v>
      </c>
      <c r="L54" s="307">
        <f t="shared" si="7"/>
        <v>1.7253908677618446E-2</v>
      </c>
      <c r="M54" s="308">
        <f t="shared" si="8"/>
        <v>5.2949623400464496E-3</v>
      </c>
      <c r="N54" s="308">
        <f t="shared" si="3"/>
        <v>2.9058988764045113E-2</v>
      </c>
      <c r="O54" s="308">
        <f t="shared" si="3"/>
        <v>7.1715186504524242E-2</v>
      </c>
      <c r="P54" s="309">
        <f t="shared" si="9"/>
        <v>3.5356379202871935E-2</v>
      </c>
    </row>
    <row r="55" spans="2:16" s="294" customFormat="1" x14ac:dyDescent="0.25">
      <c r="C55" s="294" t="s">
        <v>414</v>
      </c>
      <c r="D55" s="295">
        <f>'Energybalance history'!B68</f>
        <v>2791.0050000000001</v>
      </c>
      <c r="E55" s="295">
        <f>'Energybalance history'!C68</f>
        <v>2430.2799722222217</v>
      </c>
      <c r="F55" s="295">
        <f>'Energybalance history'!D68</f>
        <v>2683.0269444444443</v>
      </c>
      <c r="G55" s="296">
        <f>'Energybalance history'!E68</f>
        <v>2861.5609722222221</v>
      </c>
      <c r="H55" s="295">
        <f>'Energybalance history'!F68</f>
        <v>3440.232361111111</v>
      </c>
      <c r="I55" s="297">
        <f t="shared" si="4"/>
        <v>1.1774614468001567</v>
      </c>
      <c r="J55" s="297">
        <f t="shared" si="5"/>
        <v>0.5</v>
      </c>
      <c r="K55" s="298">
        <f t="shared" si="6"/>
        <v>8.5108956188343576E-2</v>
      </c>
      <c r="L55" s="299">
        <f t="shared" si="7"/>
        <v>8.8730723400078371E-2</v>
      </c>
      <c r="M55" s="300">
        <f t="shared" si="8"/>
        <v>0.10399911743136059</v>
      </c>
      <c r="N55" s="300">
        <f t="shared" si="3"/>
        <v>6.6542018203527675E-2</v>
      </c>
      <c r="O55" s="300">
        <f t="shared" si="3"/>
        <v>0.20222228165192857</v>
      </c>
      <c r="P55" s="301">
        <f t="shared" si="9"/>
        <v>0.12425447242893894</v>
      </c>
    </row>
    <row r="56" spans="2:16" s="287" customFormat="1" x14ac:dyDescent="0.25">
      <c r="C56" s="287" t="s">
        <v>269</v>
      </c>
      <c r="D56" s="288">
        <f>D52+D53</f>
        <v>4447.650555555555</v>
      </c>
      <c r="E56" s="288">
        <f t="shared" ref="E56:H56" si="10">E52+E53</f>
        <v>3906.7316666666666</v>
      </c>
      <c r="F56" s="288">
        <f t="shared" si="10"/>
        <v>4859.4383333333335</v>
      </c>
      <c r="G56" s="289">
        <f t="shared" si="10"/>
        <v>7676.0611111111102</v>
      </c>
      <c r="H56" s="288">
        <f t="shared" si="10"/>
        <v>8151.0666666666657</v>
      </c>
      <c r="I56" s="290">
        <f t="shared" si="4"/>
        <v>1.9648293678845217</v>
      </c>
      <c r="J56" s="290">
        <f t="shared" si="5"/>
        <v>0.5</v>
      </c>
      <c r="K56" s="291">
        <f t="shared" si="6"/>
        <v>0.40172371310630317</v>
      </c>
      <c r="L56" s="292">
        <f t="shared" si="7"/>
        <v>0.48241468394226084</v>
      </c>
      <c r="M56" s="292">
        <f t="shared" si="8"/>
        <v>0.2438628367531428</v>
      </c>
      <c r="N56" s="292">
        <f t="shared" si="3"/>
        <v>0.57961899803463779</v>
      </c>
      <c r="O56" s="292">
        <f t="shared" si="3"/>
        <v>6.1881419217466149E-2</v>
      </c>
      <c r="P56" s="293">
        <f t="shared" si="9"/>
        <v>0.29512108466841558</v>
      </c>
    </row>
    <row r="57" spans="2:16" x14ac:dyDescent="0.25">
      <c r="C57" t="s">
        <v>419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80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2">
        <f t="shared" si="7"/>
        <v>0.30009772660692047</v>
      </c>
      <c r="M57" s="112">
        <f t="shared" si="8"/>
        <v>0.15035759879276256</v>
      </c>
      <c r="N57" s="112">
        <f t="shared" si="3"/>
        <v>0.3910417550969878</v>
      </c>
      <c r="O57" s="112">
        <f t="shared" si="3"/>
        <v>6.4373170268050561E-2</v>
      </c>
      <c r="P57" s="115">
        <f t="shared" si="9"/>
        <v>0.20192417471926696</v>
      </c>
    </row>
    <row r="58" spans="2:16" x14ac:dyDescent="0.25">
      <c r="C58" t="s">
        <v>413</v>
      </c>
      <c r="I58" s="249"/>
      <c r="J58" s="249"/>
      <c r="K58" s="251"/>
      <c r="L58" s="112"/>
      <c r="M58" s="112"/>
      <c r="N58" s="112"/>
      <c r="O58" s="112"/>
      <c r="P58" s="115"/>
    </row>
    <row r="59" spans="2:16" x14ac:dyDescent="0.25">
      <c r="C59" t="s">
        <v>412</v>
      </c>
      <c r="I59" s="249"/>
      <c r="J59" s="249"/>
      <c r="K59" s="251"/>
      <c r="L59" s="112"/>
      <c r="M59" s="112"/>
      <c r="N59" s="112"/>
      <c r="O59" s="112"/>
      <c r="P59" s="115"/>
    </row>
    <row r="60" spans="2:16" x14ac:dyDescent="0.25">
      <c r="C60" t="s">
        <v>420</v>
      </c>
      <c r="I60" s="249"/>
      <c r="J60" s="249"/>
      <c r="K60" s="251"/>
      <c r="L60" s="112"/>
      <c r="M60" s="112"/>
      <c r="N60" s="112"/>
      <c r="O60" s="112"/>
      <c r="P60" s="115"/>
    </row>
    <row r="61" spans="2:16" x14ac:dyDescent="0.25">
      <c r="B61" t="s">
        <v>109</v>
      </c>
      <c r="C61" t="s">
        <v>434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2">
        <f t="shared" si="7"/>
        <v>4.9504950495049549E-4</v>
      </c>
      <c r="M61" s="112"/>
      <c r="N61" s="112"/>
      <c r="O61" s="112"/>
      <c r="P61" s="115"/>
    </row>
    <row r="62" spans="2:16" ht="12.75" x14ac:dyDescent="0.2">
      <c r="C62" t="s">
        <v>425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2">
        <f t="shared" si="7"/>
        <v>3.5857593252262121E-2</v>
      </c>
      <c r="M62" s="112">
        <f>(M54+N54+O54)/3</f>
        <v>3.5356379202871935E-2</v>
      </c>
      <c r="N62" s="112"/>
      <c r="O62" s="112"/>
      <c r="P62" s="115"/>
    </row>
    <row r="63" spans="2:16" ht="12.75" x14ac:dyDescent="0.2">
      <c r="C63" t="s">
        <v>414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2">
        <f t="shared" si="7"/>
        <v>0.10111114082596429</v>
      </c>
      <c r="M63" s="112">
        <f>(M55+N55+O55)/3</f>
        <v>0.12425447242893894</v>
      </c>
      <c r="N63" s="112"/>
      <c r="O63" s="112"/>
      <c r="P63" s="115"/>
    </row>
    <row r="64" spans="2:16" ht="12.75" x14ac:dyDescent="0.2">
      <c r="C64" t="s">
        <v>426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2">
        <f>(I64-1)/(H$51-G$51)</f>
        <v>-0.41596521943039366</v>
      </c>
      <c r="M64" s="112">
        <f>(M56+N56+O56)/3</f>
        <v>0.29512108466841558</v>
      </c>
      <c r="N64" s="112"/>
      <c r="O64" s="112"/>
      <c r="P64" s="115"/>
    </row>
    <row r="65" spans="2:16" x14ac:dyDescent="0.25">
      <c r="D65" s="250"/>
      <c r="E65" s="250"/>
      <c r="F65" s="250"/>
      <c r="G65" s="280"/>
      <c r="H65" s="250"/>
      <c r="I65" s="249"/>
      <c r="J65" s="249"/>
      <c r="K65" s="251"/>
      <c r="L65" s="112"/>
      <c r="M65" s="112"/>
      <c r="N65" s="112"/>
      <c r="O65" s="112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2"/>
      <c r="M66" s="112" t="str">
        <f>M51</f>
        <v>20-21</v>
      </c>
      <c r="N66" s="112" t="str">
        <f t="shared" ref="N66:O66" si="19">N51</f>
        <v>21-22</v>
      </c>
      <c r="O66" s="112" t="str">
        <f t="shared" si="19"/>
        <v>22-23</v>
      </c>
      <c r="P66" t="s">
        <v>325</v>
      </c>
    </row>
    <row r="67" spans="2:16" x14ac:dyDescent="0.25">
      <c r="C67" t="s">
        <v>435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80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2">
        <f t="shared" ref="L67:L68" si="22">(I67-1)/(H$51-G$51)</f>
        <v>-0.29239323238153681</v>
      </c>
      <c r="M67" s="112">
        <f>(F67/E67-1)^1</f>
        <v>0.15035759879276256</v>
      </c>
      <c r="N67" s="112">
        <f t="shared" ref="N67:O68" si="23">(G67/F67-1)^1</f>
        <v>0.3910417550969878</v>
      </c>
      <c r="O67" s="112">
        <f t="shared" si="23"/>
        <v>-0.29239323238153681</v>
      </c>
      <c r="P67" s="112">
        <f>(M67+N67+O67)/3</f>
        <v>8.3002040502737851E-2</v>
      </c>
    </row>
    <row r="68" spans="2:16" x14ac:dyDescent="0.2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80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2">
        <f t="shared" si="22"/>
        <v>0.20222228165192857</v>
      </c>
      <c r="M68" s="112">
        <f>(F68/E68-1)^1</f>
        <v>0.10399911743136059</v>
      </c>
      <c r="N68" s="112">
        <f t="shared" si="23"/>
        <v>6.6542018203527675E-2</v>
      </c>
      <c r="O68" s="112">
        <f t="shared" si="23"/>
        <v>0.20222228165192857</v>
      </c>
      <c r="P68" s="112">
        <f>(M68+N68+O68)/3</f>
        <v>0.12425447242893894</v>
      </c>
    </row>
    <row r="69" spans="2:16" x14ac:dyDescent="0.25">
      <c r="J69" s="112"/>
      <c r="K69" s="115"/>
    </row>
    <row r="70" spans="2:16" x14ac:dyDescent="0.25">
      <c r="J70" s="112"/>
      <c r="K70" s="115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2"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7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3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4"/>
      <c r="D5" s="154"/>
      <c r="E5" s="79"/>
      <c r="F5" s="154"/>
      <c r="G5" s="7"/>
      <c r="M5" s="66" t="s">
        <v>74</v>
      </c>
      <c r="N5" s="70"/>
      <c r="O5" s="152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4"/>
      <c r="D6" s="154"/>
      <c r="E6" s="79"/>
      <c r="F6" s="154"/>
      <c r="G6" s="7"/>
      <c r="M6" s="66" t="s">
        <v>74</v>
      </c>
      <c r="N6" s="70"/>
      <c r="O6" s="152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4"/>
      <c r="D7" s="154"/>
      <c r="E7" s="79"/>
      <c r="F7" s="154"/>
      <c r="G7" s="7"/>
      <c r="M7" s="66" t="s">
        <v>74</v>
      </c>
      <c r="N7" s="70"/>
      <c r="O7" s="152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6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6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6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6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221</v>
      </c>
      <c r="Q26" t="s">
        <v>161</v>
      </c>
    </row>
    <row r="27" spans="2:21" x14ac:dyDescent="0.2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">
      <c r="H38" s="257"/>
      <c r="I38" s="257"/>
      <c r="J38" s="257"/>
    </row>
    <row r="39" spans="1:24" x14ac:dyDescent="0.2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0"/>
  <sheetViews>
    <sheetView tabSelected="1" topLeftCell="F3" zoomScale="118" zoomScaleNormal="118" workbookViewId="0">
      <selection activeCell="P15" sqref="P15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2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425</v>
      </c>
      <c r="T5" s="158" t="s">
        <v>427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222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8" t="s">
        <v>74</v>
      </c>
      <c r="R8" s="158"/>
      <c r="S8" s="158" t="s">
        <v>426</v>
      </c>
      <c r="T8" s="158" t="s">
        <v>428</v>
      </c>
      <c r="U8" s="253" t="s">
        <v>161</v>
      </c>
      <c r="V8" s="92"/>
      <c r="W8" s="92"/>
      <c r="X8" s="92"/>
      <c r="Y8" s="92"/>
    </row>
    <row r="9" spans="2:25" x14ac:dyDescent="0.2">
      <c r="Q9" s="265" t="s">
        <v>82</v>
      </c>
      <c r="R9" s="265"/>
      <c r="S9" s="265" t="s">
        <v>435</v>
      </c>
      <c r="T9" s="265" t="s">
        <v>436</v>
      </c>
      <c r="U9" s="253" t="s">
        <v>161</v>
      </c>
      <c r="V9" s="92"/>
      <c r="W9" s="92"/>
      <c r="X9" s="92"/>
      <c r="Y9" s="92"/>
    </row>
    <row r="10" spans="2:25" x14ac:dyDescent="0.2">
      <c r="Q10" s="265"/>
      <c r="R10" s="265"/>
      <c r="S10" s="265"/>
      <c r="T10" s="265"/>
      <c r="U10" s="253"/>
      <c r="V10" s="92"/>
      <c r="W10" s="92"/>
      <c r="X10" s="92"/>
      <c r="Y10" s="92"/>
    </row>
    <row r="11" spans="2:25" x14ac:dyDescent="0.2">
      <c r="Q11" s="253" t="s">
        <v>74</v>
      </c>
      <c r="R11" s="92"/>
      <c r="S11" s="253" t="s">
        <v>438</v>
      </c>
      <c r="T11" s="253" t="s">
        <v>440</v>
      </c>
      <c r="U11" s="253" t="s">
        <v>161</v>
      </c>
      <c r="V11" s="92"/>
      <c r="W11" s="92"/>
      <c r="X11" s="92"/>
      <c r="Y11" s="92"/>
    </row>
    <row r="12" spans="2:25" x14ac:dyDescent="0.2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">
      <c r="Q13" s="253"/>
      <c r="R13" s="92"/>
      <c r="S13" s="253"/>
      <c r="T13" s="253"/>
      <c r="U13" s="253"/>
      <c r="V13" s="92"/>
      <c r="W13" s="92"/>
      <c r="X13" s="92"/>
      <c r="Y13" s="92"/>
    </row>
    <row r="14" spans="2:25" x14ac:dyDescent="0.2">
      <c r="Q14" s="253"/>
      <c r="R14" s="92"/>
      <c r="S14" s="253"/>
      <c r="T14" s="253"/>
      <c r="U14" s="253"/>
      <c r="V14" s="92"/>
      <c r="W14" s="92"/>
      <c r="X14" s="92"/>
      <c r="Y14" s="92"/>
    </row>
    <row r="16" spans="2:25" x14ac:dyDescent="0.2">
      <c r="D16" s="3" t="s">
        <v>13</v>
      </c>
      <c r="E16" s="3"/>
      <c r="F16" s="3"/>
      <c r="H16" s="3"/>
      <c r="I16" s="96"/>
      <c r="J16" s="96"/>
      <c r="K16" s="96"/>
      <c r="L16" s="96"/>
      <c r="M16" s="96"/>
      <c r="N16" s="96"/>
      <c r="O16" s="96"/>
      <c r="P16" s="96"/>
      <c r="Q16" s="91" t="s">
        <v>15</v>
      </c>
      <c r="R16" s="91"/>
      <c r="S16" s="92"/>
      <c r="T16" s="92"/>
      <c r="U16" s="92"/>
      <c r="V16" s="92"/>
      <c r="W16" s="92"/>
      <c r="X16" s="92"/>
      <c r="Y16" s="92"/>
    </row>
    <row r="17" spans="2:25" ht="24" customHeight="1" x14ac:dyDescent="0.2">
      <c r="B17" s="54" t="s">
        <v>1</v>
      </c>
      <c r="C17" s="54" t="s">
        <v>5</v>
      </c>
      <c r="D17" s="54" t="s">
        <v>6</v>
      </c>
      <c r="E17" s="97" t="s">
        <v>441</v>
      </c>
      <c r="F17" s="98" t="s">
        <v>422</v>
      </c>
      <c r="G17" s="97" t="s">
        <v>105</v>
      </c>
      <c r="H17" s="97" t="s">
        <v>106</v>
      </c>
      <c r="I17" s="97" t="s">
        <v>107</v>
      </c>
      <c r="J17" s="97" t="s">
        <v>423</v>
      </c>
      <c r="K17" s="97" t="s">
        <v>171</v>
      </c>
      <c r="L17" s="99" t="s">
        <v>172</v>
      </c>
      <c r="M17" s="99" t="s">
        <v>162</v>
      </c>
      <c r="N17" s="254"/>
      <c r="O17" s="254"/>
      <c r="P17" s="254"/>
      <c r="Q17" s="93" t="s">
        <v>11</v>
      </c>
      <c r="R17" s="94" t="s">
        <v>30</v>
      </c>
      <c r="S17" s="93" t="s">
        <v>1</v>
      </c>
      <c r="T17" s="93" t="s">
        <v>2</v>
      </c>
      <c r="U17" s="93" t="s">
        <v>16</v>
      </c>
      <c r="V17" s="93" t="s">
        <v>17</v>
      </c>
      <c r="W17" s="93" t="s">
        <v>18</v>
      </c>
      <c r="X17" s="93" t="s">
        <v>19</v>
      </c>
      <c r="Y17" s="93" t="s">
        <v>20</v>
      </c>
    </row>
    <row r="18" spans="2:25" ht="45.75" thickBot="1" x14ac:dyDescent="0.25">
      <c r="B18" s="100" t="s">
        <v>39</v>
      </c>
      <c r="C18" s="100" t="s">
        <v>32</v>
      </c>
      <c r="D18" s="100" t="s">
        <v>33</v>
      </c>
      <c r="E18" s="100" t="s">
        <v>108</v>
      </c>
      <c r="F18" s="100" t="s">
        <v>151</v>
      </c>
      <c r="G18" s="100" t="s">
        <v>109</v>
      </c>
      <c r="H18" s="101" t="s">
        <v>110</v>
      </c>
      <c r="I18" s="100" t="s">
        <v>118</v>
      </c>
      <c r="J18" s="100" t="s">
        <v>424</v>
      </c>
      <c r="K18" s="100" t="s">
        <v>173</v>
      </c>
      <c r="L18" s="101" t="s">
        <v>174</v>
      </c>
      <c r="M18" s="271" t="s">
        <v>163</v>
      </c>
      <c r="N18" s="255"/>
      <c r="O18" s="255"/>
      <c r="P18" s="255"/>
      <c r="Q18" s="95" t="s">
        <v>38</v>
      </c>
      <c r="R18" s="95" t="s">
        <v>31</v>
      </c>
      <c r="S18" s="95" t="s">
        <v>21</v>
      </c>
      <c r="T18" s="95" t="s">
        <v>22</v>
      </c>
      <c r="U18" s="95" t="s">
        <v>23</v>
      </c>
      <c r="V18" s="95" t="s">
        <v>24</v>
      </c>
      <c r="W18" s="95" t="s">
        <v>43</v>
      </c>
      <c r="X18" s="95" t="s">
        <v>42</v>
      </c>
      <c r="Y18" s="95" t="s">
        <v>25</v>
      </c>
    </row>
    <row r="19" spans="2:25" ht="13.5" thickBot="1" x14ac:dyDescent="0.25">
      <c r="B19" s="102" t="s">
        <v>87</v>
      </c>
      <c r="C19" s="102"/>
      <c r="D19" s="102"/>
      <c r="E19" s="103" t="s">
        <v>213</v>
      </c>
      <c r="F19" s="103"/>
      <c r="G19" s="103" t="s">
        <v>363</v>
      </c>
      <c r="H19" s="104" t="s">
        <v>363</v>
      </c>
      <c r="I19" s="103" t="s">
        <v>111</v>
      </c>
      <c r="J19" s="103"/>
      <c r="K19" s="103"/>
      <c r="L19" s="104"/>
      <c r="M19" s="104"/>
      <c r="N19" s="256"/>
      <c r="O19" s="256"/>
      <c r="P19" s="256"/>
      <c r="Q19" s="95" t="s">
        <v>81</v>
      </c>
      <c r="R19" s="95"/>
      <c r="S19" s="95"/>
      <c r="T19" s="95"/>
      <c r="U19" s="95"/>
      <c r="V19" s="95"/>
      <c r="W19" s="95"/>
      <c r="X19" s="95"/>
      <c r="Y19" s="95"/>
    </row>
    <row r="20" spans="2:25" x14ac:dyDescent="0.2">
      <c r="B20" s="90" t="str">
        <f>S$20</f>
        <v>Kiln</v>
      </c>
      <c r="C20" s="90" t="str">
        <f>PRI_Sector_Fuels!O5</f>
        <v>MANCOALMIN</v>
      </c>
      <c r="D20" s="92" t="str">
        <f>S8</f>
        <v>MANHEATCOAL</v>
      </c>
      <c r="E20" s="108">
        <f>PRI_Sector_Fuels!I23/(DemTechs_INDF!G20*DemTechs_INDF!H20*DemTechs_INDF!M20)</f>
        <v>655.3883584705502</v>
      </c>
      <c r="F20" s="105">
        <v>0.59</v>
      </c>
      <c r="G20" s="106">
        <v>0.55000000000000004</v>
      </c>
      <c r="H20" s="106">
        <v>1</v>
      </c>
      <c r="I20" s="130">
        <v>30</v>
      </c>
      <c r="J20" s="130"/>
      <c r="K20" s="107">
        <v>1515</v>
      </c>
      <c r="L20" s="107"/>
      <c r="M20" s="107">
        <v>8.76</v>
      </c>
      <c r="N20" s="113"/>
      <c r="O20" s="113"/>
      <c r="P20" s="113"/>
      <c r="Q20" s="161" t="s">
        <v>439</v>
      </c>
      <c r="S20" s="90" t="s">
        <v>152</v>
      </c>
      <c r="T20" s="90" t="s">
        <v>214</v>
      </c>
      <c r="U20" s="92" t="str">
        <f>$E$2</f>
        <v>GWh</v>
      </c>
      <c r="V20" s="92" t="s">
        <v>153</v>
      </c>
      <c r="W20" s="92"/>
      <c r="X20" s="253"/>
      <c r="Y20" s="92"/>
    </row>
    <row r="21" spans="2:25" x14ac:dyDescent="0.2">
      <c r="B21" s="90" t="str">
        <f>S$20</f>
        <v>Kiln</v>
      </c>
      <c r="C21" s="90" t="str">
        <f>PRI_Sector_Fuels!O6</f>
        <v>MANCOALIMP</v>
      </c>
      <c r="D21" s="92" t="str">
        <f>S$8</f>
        <v>MANHEATCOAL</v>
      </c>
      <c r="E21" s="108">
        <f>PRI_Sector_Fuels!I24/(M21*G21*H21)</f>
        <v>937.81652137816502</v>
      </c>
      <c r="F21" s="105">
        <v>0.41</v>
      </c>
      <c r="G21" s="106">
        <v>0.55000000000000004</v>
      </c>
      <c r="H21" s="106">
        <v>1</v>
      </c>
      <c r="I21" s="130">
        <v>30</v>
      </c>
      <c r="J21" s="130"/>
      <c r="K21" s="107">
        <v>1515</v>
      </c>
      <c r="L21" s="107"/>
      <c r="M21" s="107">
        <v>8.76</v>
      </c>
      <c r="N21" s="113"/>
      <c r="O21" s="113"/>
      <c r="P21" s="113"/>
      <c r="Q21" s="161" t="s">
        <v>439</v>
      </c>
      <c r="S21" s="90" t="s">
        <v>154</v>
      </c>
      <c r="T21" s="90" t="s">
        <v>155</v>
      </c>
      <c r="U21" s="92" t="str">
        <f>$E$2</f>
        <v>GWh</v>
      </c>
      <c r="V21" s="92" t="s">
        <v>153</v>
      </c>
      <c r="W21" s="92"/>
      <c r="X21" s="253"/>
      <c r="Y21" s="92"/>
    </row>
    <row r="22" spans="2:25" x14ac:dyDescent="0.2">
      <c r="B22" s="90" t="str">
        <f>S$21</f>
        <v>Boiler</v>
      </c>
      <c r="C22" s="90" t="str">
        <f>PRI_Sector_Fuels!O7</f>
        <v>MANOILIMP</v>
      </c>
      <c r="D22" s="92" t="str">
        <f>S$5</f>
        <v>MANHEATOIL</v>
      </c>
      <c r="E22" s="108">
        <f>PRI_Sector_Fuels!I25/(M22*G22*H22)</f>
        <v>371.73515981735164</v>
      </c>
      <c r="F22" s="105">
        <v>1</v>
      </c>
      <c r="G22" s="106">
        <v>0.8</v>
      </c>
      <c r="H22" s="108">
        <v>1</v>
      </c>
      <c r="I22" s="107">
        <v>30</v>
      </c>
      <c r="J22" s="130"/>
      <c r="K22" s="107">
        <v>1515</v>
      </c>
      <c r="L22" s="107"/>
      <c r="M22" s="107">
        <v>8.76</v>
      </c>
      <c r="N22" s="113"/>
      <c r="O22" s="113"/>
      <c r="P22" s="113"/>
      <c r="Q22" s="90" t="s">
        <v>112</v>
      </c>
      <c r="S22" s="161" t="s">
        <v>166</v>
      </c>
      <c r="T22" s="90" t="s">
        <v>219</v>
      </c>
      <c r="U22" s="90" t="s">
        <v>161</v>
      </c>
      <c r="V22" s="90" t="s">
        <v>153</v>
      </c>
      <c r="W22" s="167" t="s">
        <v>225</v>
      </c>
    </row>
    <row r="23" spans="2:25" s="157" customFormat="1" x14ac:dyDescent="0.2">
      <c r="B23" s="96" t="str">
        <f>S22</f>
        <v>MANELC</v>
      </c>
      <c r="C23" s="96" t="str">
        <f>PRI_Sector_Fuels!O8</f>
        <v>ELC</v>
      </c>
      <c r="D23" s="92" t="str">
        <f>S6</f>
        <v>MANELC</v>
      </c>
      <c r="E23" s="108">
        <f>PRI_Sector_Fuels!I26/M23*G23</f>
        <v>326.66221144089292</v>
      </c>
      <c r="F23" s="160">
        <v>1</v>
      </c>
      <c r="G23" s="157">
        <v>1</v>
      </c>
      <c r="H23" s="157">
        <v>1</v>
      </c>
      <c r="I23" s="157">
        <v>50</v>
      </c>
      <c r="K23" s="157">
        <v>1515</v>
      </c>
      <c r="M23" s="157">
        <v>8.76</v>
      </c>
      <c r="Q23" s="157" t="s">
        <v>439</v>
      </c>
      <c r="S23" s="157" t="s">
        <v>438</v>
      </c>
      <c r="T23" s="157" t="s">
        <v>437</v>
      </c>
      <c r="U23" s="96" t="s">
        <v>161</v>
      </c>
      <c r="V23" s="96" t="s">
        <v>153</v>
      </c>
      <c r="W23" s="168"/>
    </row>
    <row r="24" spans="2:25" s="157" customFormat="1" x14ac:dyDescent="0.2">
      <c r="B24" s="96" t="str">
        <f>S23</f>
        <v>PHEAT</v>
      </c>
      <c r="C24" s="158" t="str">
        <f>DemTechs_INDF!D20</f>
        <v>MANHEATCOAL</v>
      </c>
      <c r="D24" s="92" t="str">
        <f>S9</f>
        <v>MANHEAT</v>
      </c>
      <c r="E24" s="159"/>
      <c r="F24" s="160">
        <f>I32</f>
        <v>0.74661277027941986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">
      <c r="B25" s="96" t="str">
        <f>S23</f>
        <v>PHEAT</v>
      </c>
      <c r="C25" s="158" t="str">
        <f>D22</f>
        <v>MANHEATOIL</v>
      </c>
      <c r="D25" s="92" t="str">
        <f>S9</f>
        <v>MANHEAT</v>
      </c>
      <c r="E25" s="159"/>
      <c r="F25" s="160">
        <f>I33</f>
        <v>0.25338722972058014</v>
      </c>
      <c r="G25" s="157">
        <v>1</v>
      </c>
      <c r="H25" s="157">
        <v>1</v>
      </c>
      <c r="I25" s="157">
        <v>50</v>
      </c>
      <c r="K25" s="157">
        <v>0</v>
      </c>
      <c r="M25" s="157">
        <v>8.76</v>
      </c>
      <c r="U25" s="96"/>
      <c r="V25" s="96"/>
    </row>
    <row r="26" spans="2:25" s="157" customFormat="1" x14ac:dyDescent="0.2">
      <c r="B26" s="96"/>
      <c r="C26" s="158"/>
      <c r="D26" s="92"/>
      <c r="E26" s="159"/>
      <c r="F26" s="160"/>
      <c r="Q26" s="266"/>
      <c r="R26" s="266"/>
      <c r="S26" s="266"/>
      <c r="T26" s="266"/>
      <c r="U26" s="96"/>
      <c r="V26" s="96"/>
    </row>
    <row r="27" spans="2:25" s="157" customFormat="1" x14ac:dyDescent="0.2">
      <c r="B27" s="96"/>
      <c r="C27" s="158"/>
      <c r="D27" s="92"/>
      <c r="E27" s="159"/>
      <c r="F27" s="160"/>
      <c r="V27" s="96"/>
    </row>
    <row r="28" spans="2:25" s="113" customFormat="1" x14ac:dyDescent="0.2">
      <c r="B28" s="161"/>
      <c r="C28" s="92"/>
      <c r="D28" s="92"/>
      <c r="E28" s="159"/>
      <c r="F28" s="160"/>
      <c r="G28" s="157"/>
      <c r="H28" s="157"/>
      <c r="I28" s="157"/>
      <c r="J28" s="157"/>
      <c r="K28" s="157"/>
    </row>
    <row r="29" spans="2:25" x14ac:dyDescent="0.2">
      <c r="B29" s="161"/>
      <c r="C29" s="92"/>
      <c r="D29" s="92"/>
      <c r="E29" s="159"/>
      <c r="F29" s="160"/>
      <c r="G29" s="157"/>
      <c r="H29" s="157"/>
      <c r="I29" s="157"/>
      <c r="J29" s="157"/>
      <c r="K29" s="157"/>
    </row>
    <row r="30" spans="2:25" x14ac:dyDescent="0.2">
      <c r="B30" s="161"/>
      <c r="C30" s="92"/>
      <c r="D30" s="158"/>
      <c r="E30" s="159"/>
      <c r="F30" s="160"/>
      <c r="G30" s="157">
        <v>2022</v>
      </c>
      <c r="H30" s="157">
        <v>2022</v>
      </c>
      <c r="I30" s="157">
        <v>2022</v>
      </c>
      <c r="J30" s="157"/>
      <c r="K30" s="157" t="s">
        <v>445</v>
      </c>
    </row>
    <row r="31" spans="2:25" x14ac:dyDescent="0.2">
      <c r="E31" s="161" t="s">
        <v>442</v>
      </c>
      <c r="F31" s="109"/>
      <c r="G31" s="90">
        <f>E20*G20*H20*M20</f>
        <v>3157.661111111111</v>
      </c>
      <c r="H31" s="264">
        <f>G31/(G31+G32)</f>
        <v>0.41136476969163155</v>
      </c>
      <c r="K31" s="264">
        <f>G31/G$35</f>
        <v>0.24025892702523827</v>
      </c>
      <c r="U31" s="92"/>
      <c r="V31" s="92"/>
      <c r="W31" s="167"/>
    </row>
    <row r="32" spans="2:25" x14ac:dyDescent="0.2">
      <c r="E32" s="161" t="s">
        <v>443</v>
      </c>
      <c r="F32" s="109"/>
      <c r="G32" s="90">
        <f t="shared" ref="G32:G33" si="0">E21*G21*H21*M21</f>
        <v>4518.3999999999996</v>
      </c>
      <c r="H32" s="264">
        <f>G32/(G31+G32)</f>
        <v>0.58863523030836851</v>
      </c>
      <c r="I32" s="90">
        <f>(G31+G32)/(G31+G32+G33)</f>
        <v>0.74661277027941986</v>
      </c>
      <c r="J32" s="90">
        <f>G31+G32</f>
        <v>7676.0611111111102</v>
      </c>
      <c r="K32" s="264">
        <f t="shared" ref="K32:K34" si="1">G32/G$35</f>
        <v>0.34379431410511396</v>
      </c>
      <c r="R32" s="113"/>
      <c r="T32" s="113"/>
      <c r="U32" s="114"/>
      <c r="V32" s="114"/>
    </row>
    <row r="33" spans="2:11" x14ac:dyDescent="0.2">
      <c r="E33" s="161" t="s">
        <v>45</v>
      </c>
      <c r="F33" s="109"/>
      <c r="G33" s="90">
        <f t="shared" si="0"/>
        <v>2605.1200000000003</v>
      </c>
      <c r="H33" s="110">
        <f>G33/G33</f>
        <v>1</v>
      </c>
      <c r="I33" s="90">
        <f>1-I32</f>
        <v>0.25338722972058014</v>
      </c>
      <c r="K33" s="264">
        <f t="shared" si="1"/>
        <v>0.19821738747377715</v>
      </c>
    </row>
    <row r="34" spans="2:11" x14ac:dyDescent="0.2">
      <c r="E34" s="161" t="s">
        <v>46</v>
      </c>
      <c r="G34" s="90">
        <f>E23*G23*H23*M23</f>
        <v>2861.5609722222221</v>
      </c>
      <c r="H34" s="110">
        <f>G34/G34</f>
        <v>1</v>
      </c>
      <c r="I34" s="109">
        <f>H34</f>
        <v>1</v>
      </c>
      <c r="K34" s="264">
        <f t="shared" si="1"/>
        <v>0.21772937139587065</v>
      </c>
    </row>
    <row r="35" spans="2:11" x14ac:dyDescent="0.2">
      <c r="B35" s="107"/>
      <c r="C35" s="90" t="s">
        <v>98</v>
      </c>
      <c r="G35" s="90">
        <f>SUM(G31:G34)</f>
        <v>13142.742083333333</v>
      </c>
      <c r="H35" s="110"/>
      <c r="K35" s="90">
        <f>SUM(K31:K34)</f>
        <v>1</v>
      </c>
    </row>
    <row r="36" spans="2:11" x14ac:dyDescent="0.2">
      <c r="B36" s="111"/>
      <c r="C36" s="90" t="s">
        <v>99</v>
      </c>
      <c r="H36" s="110"/>
    </row>
    <row r="37" spans="2:11" x14ac:dyDescent="0.2">
      <c r="E37" s="90" t="s">
        <v>210</v>
      </c>
      <c r="F37" s="90" t="s">
        <v>212</v>
      </c>
      <c r="H37" s="110"/>
    </row>
    <row r="39" spans="2:11" x14ac:dyDescent="0.2">
      <c r="E39" s="90" t="s">
        <v>211</v>
      </c>
      <c r="F39" s="90">
        <f>24*365</f>
        <v>8760</v>
      </c>
    </row>
    <row r="40" spans="2:11" x14ac:dyDescent="0.2">
      <c r="E40" s="21"/>
      <c r="G40" s="90">
        <f>G31+G32+G33</f>
        <v>10281.181111111111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C16" zoomScale="226" zoomScaleNormal="226" workbookViewId="0">
      <selection activeCell="M12" sqref="M1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7"/>
    </row>
    <row r="5" spans="2:18" x14ac:dyDescent="0.2">
      <c r="C5" s="118" t="s">
        <v>13</v>
      </c>
      <c r="D5" s="118"/>
      <c r="E5" s="1"/>
    </row>
    <row r="6" spans="2:18" x14ac:dyDescent="0.2">
      <c r="B6" s="117" t="s">
        <v>175</v>
      </c>
      <c r="C6" s="117" t="s">
        <v>0</v>
      </c>
      <c r="D6" s="117" t="s">
        <v>176</v>
      </c>
      <c r="E6" s="117">
        <v>2022</v>
      </c>
      <c r="F6" s="117">
        <v>2025</v>
      </c>
      <c r="G6" s="117">
        <v>2030</v>
      </c>
      <c r="H6" s="117">
        <v>2035</v>
      </c>
      <c r="I6" s="117">
        <v>2040</v>
      </c>
      <c r="J6" s="117">
        <v>2045</v>
      </c>
      <c r="K6" s="117">
        <v>2050</v>
      </c>
      <c r="L6" s="145"/>
      <c r="M6" s="148"/>
      <c r="N6" s="124"/>
      <c r="Q6" s="118" t="s">
        <v>13</v>
      </c>
      <c r="R6" s="1"/>
    </row>
    <row r="7" spans="2:18" ht="33.75" x14ac:dyDescent="0.2">
      <c r="B7" s="120" t="s">
        <v>81</v>
      </c>
      <c r="C7" s="120" t="s">
        <v>177</v>
      </c>
      <c r="D7" s="120" t="s">
        <v>178</v>
      </c>
      <c r="E7" s="120" t="s">
        <v>179</v>
      </c>
      <c r="F7" s="120" t="s">
        <v>179</v>
      </c>
      <c r="G7" s="120" t="s">
        <v>179</v>
      </c>
      <c r="H7" s="120" t="s">
        <v>179</v>
      </c>
      <c r="I7" s="120" t="s">
        <v>179</v>
      </c>
      <c r="J7" s="120" t="s">
        <v>179</v>
      </c>
      <c r="K7" s="120" t="s">
        <v>179</v>
      </c>
      <c r="L7" s="146"/>
      <c r="M7" s="148" t="s">
        <v>224</v>
      </c>
      <c r="N7" s="125"/>
      <c r="O7" s="117" t="s">
        <v>175</v>
      </c>
      <c r="P7" s="117" t="s">
        <v>0</v>
      </c>
      <c r="Q7" s="117" t="s">
        <v>181</v>
      </c>
      <c r="R7" s="117">
        <v>2022</v>
      </c>
    </row>
    <row r="8" spans="2:18" ht="15.75" customHeight="1" thickBot="1" x14ac:dyDescent="0.25">
      <c r="B8" s="119" t="s">
        <v>87</v>
      </c>
      <c r="C8" s="119"/>
      <c r="D8" s="119"/>
      <c r="E8" s="119" t="s">
        <v>161</v>
      </c>
      <c r="F8" s="119" t="s">
        <v>161</v>
      </c>
      <c r="G8" s="119" t="s">
        <v>161</v>
      </c>
      <c r="H8" s="119" t="s">
        <v>161</v>
      </c>
      <c r="I8" s="119" t="s">
        <v>161</v>
      </c>
      <c r="J8" s="119" t="s">
        <v>161</v>
      </c>
      <c r="K8" s="119" t="s">
        <v>161</v>
      </c>
      <c r="L8" s="146"/>
      <c r="M8" s="148"/>
      <c r="N8" s="125"/>
      <c r="O8" s="127" t="s">
        <v>81</v>
      </c>
      <c r="P8" s="127" t="s">
        <v>177</v>
      </c>
      <c r="Q8" s="127"/>
      <c r="R8" s="127"/>
    </row>
    <row r="9" spans="2:18" s="20" customFormat="1" ht="15" thickBot="1" x14ac:dyDescent="0.25">
      <c r="B9" s="281" t="s">
        <v>180</v>
      </c>
      <c r="C9" s="281" t="s">
        <v>435</v>
      </c>
      <c r="D9" s="281" t="s">
        <v>161</v>
      </c>
      <c r="E9" s="282">
        <f>E12+E14</f>
        <v>10281.181111111111</v>
      </c>
      <c r="F9" s="282">
        <f>E9*(1+$M$9)^(F6-E6)</f>
        <v>13059.628840978741</v>
      </c>
      <c r="G9" s="282">
        <f t="shared" ref="G9:K9" si="0">F9*(1+$M$9)^(G6-F6)</f>
        <v>19457.059579707369</v>
      </c>
      <c r="H9" s="282">
        <f t="shared" si="0"/>
        <v>28988.355802300906</v>
      </c>
      <c r="I9" s="282">
        <f t="shared" si="0"/>
        <v>43188.68268241336</v>
      </c>
      <c r="J9" s="282">
        <f t="shared" si="0"/>
        <v>64345.226219906523</v>
      </c>
      <c r="K9" s="282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.25" x14ac:dyDescent="0.2">
      <c r="B10" s="281" t="s">
        <v>180</v>
      </c>
      <c r="C10" s="281" t="str">
        <f>C13</f>
        <v>MANELC</v>
      </c>
      <c r="D10" s="281" t="s">
        <v>161</v>
      </c>
      <c r="E10" s="282">
        <f>E13</f>
        <v>2861.5609722222221</v>
      </c>
      <c r="F10" s="282">
        <f>E10*(1+$M$10)^(F6-E6)</f>
        <v>4066.2762112692412</v>
      </c>
      <c r="G10" s="282">
        <f t="shared" ref="G10:K10" si="1">F10*(1+$M$10)^(G6-F6)</f>
        <v>7303.3143733654952</v>
      </c>
      <c r="H10" s="282">
        <f t="shared" si="1"/>
        <v>13117.259641237719</v>
      </c>
      <c r="I10" s="282">
        <f t="shared" si="1"/>
        <v>23559.508970768085</v>
      </c>
      <c r="J10" s="282">
        <f t="shared" si="1"/>
        <v>42314.513711289808</v>
      </c>
      <c r="K10" s="282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8">
        <v>0.75</v>
      </c>
    </row>
    <row r="11" spans="2:18" s="257" customFormat="1" ht="13.5" thickBot="1" x14ac:dyDescent="0.25">
      <c r="B11" s="283"/>
      <c r="C11" s="283"/>
      <c r="D11" s="283"/>
      <c r="E11" s="283"/>
      <c r="F11" s="283"/>
      <c r="G11" s="283"/>
      <c r="H11" s="283"/>
      <c r="I11" s="283"/>
      <c r="J11" s="283"/>
      <c r="K11" s="283"/>
      <c r="L11" s="283"/>
      <c r="M11" s="284"/>
      <c r="N11" s="283"/>
      <c r="O11" s="285" t="s">
        <v>182</v>
      </c>
      <c r="P11" s="285" t="str">
        <f>DemTechs_INDF!S$6</f>
        <v>MANELC</v>
      </c>
      <c r="Q11" s="113" t="s">
        <v>184</v>
      </c>
      <c r="R11" s="286">
        <v>0.25</v>
      </c>
    </row>
    <row r="12" spans="2:18" ht="13.5" thickBot="1" x14ac:dyDescent="0.25">
      <c r="B12" s="121" t="s">
        <v>180</v>
      </c>
      <c r="C12" s="121" t="str">
        <f>DemTechs_INDF!S5</f>
        <v>MANHEATOIL</v>
      </c>
      <c r="D12" s="121" t="str">
        <f>E$2</f>
        <v>GWh</v>
      </c>
      <c r="E12" s="123">
        <f>EBF!G62</f>
        <v>2605.1200000000003</v>
      </c>
      <c r="F12" s="123">
        <f>E12*(1+$M$12)^(F6-E6)</f>
        <v>2891.3277478771038</v>
      </c>
      <c r="G12" s="123">
        <f t="shared" ref="G12:K12" si="2">F12*(1+$M$12)^(G6-F6)</f>
        <v>3439.9065346715411</v>
      </c>
      <c r="H12" s="123">
        <f t="shared" si="2"/>
        <v>4092.5685356715676</v>
      </c>
      <c r="I12" s="123">
        <f t="shared" si="2"/>
        <v>4869.0617173318651</v>
      </c>
      <c r="J12" s="123">
        <f t="shared" si="2"/>
        <v>5792.8808767759392</v>
      </c>
      <c r="K12" s="123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161" t="s">
        <v>446</v>
      </c>
      <c r="R12" s="128">
        <v>1.0416666666666666E-2</v>
      </c>
    </row>
    <row r="13" spans="2:18" ht="13.5" thickBot="1" x14ac:dyDescent="0.25">
      <c r="B13" s="121" t="s">
        <v>180</v>
      </c>
      <c r="C13" s="121" t="str">
        <f>DemTechs_INDF!S6</f>
        <v>MANELC</v>
      </c>
      <c r="D13" s="121" t="str">
        <f>E$2</f>
        <v>GWh</v>
      </c>
      <c r="E13" s="123">
        <f>EBF!G63</f>
        <v>2861.5609722222221</v>
      </c>
      <c r="F13" s="123">
        <f t="shared" ref="F13:K13" si="3">E13*(1+$M$13)^(F6-E6)</f>
        <v>4066.2762112692412</v>
      </c>
      <c r="G13" s="123">
        <f t="shared" si="3"/>
        <v>7303.3143733654952</v>
      </c>
      <c r="H13" s="123">
        <f t="shared" si="3"/>
        <v>13117.259641237719</v>
      </c>
      <c r="I13" s="123">
        <f t="shared" si="3"/>
        <v>23559.508970768085</v>
      </c>
      <c r="J13" s="123">
        <f t="shared" si="3"/>
        <v>42314.513711289808</v>
      </c>
      <c r="K13" s="123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310" t="s">
        <v>447</v>
      </c>
      <c r="R13" s="129">
        <v>1.0416666666666666E-2</v>
      </c>
    </row>
    <row r="14" spans="2:18" ht="13.5" thickBot="1" x14ac:dyDescent="0.25">
      <c r="B14" s="139" t="s">
        <v>180</v>
      </c>
      <c r="C14" s="121" t="str">
        <f>DemTechs_INDF!S8</f>
        <v>MANHEATCOAL</v>
      </c>
      <c r="D14" s="121" t="str">
        <f>E$2</f>
        <v>GWh</v>
      </c>
      <c r="E14" s="123">
        <f>EBF!G64</f>
        <v>7676.0611111111102</v>
      </c>
      <c r="F14" s="123">
        <f t="shared" ref="F14:K14" si="4">E14*(1+$M$14)^(F6-E6)</f>
        <v>16675.142154970184</v>
      </c>
      <c r="G14" s="123">
        <f t="shared" si="4"/>
        <v>60760.51046806042</v>
      </c>
      <c r="H14" s="123">
        <f t="shared" si="4"/>
        <v>221397.7906772382</v>
      </c>
      <c r="I14" s="123">
        <f t="shared" si="4"/>
        <v>806724.32372879121</v>
      </c>
      <c r="J14" s="123">
        <f t="shared" si="4"/>
        <v>2939524.0688939015</v>
      </c>
      <c r="K14" s="123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s="161" t="s">
        <v>448</v>
      </c>
      <c r="R14" s="128">
        <v>1.0416666666666666E-2</v>
      </c>
    </row>
    <row r="15" spans="2:18" ht="13.5" thickBot="1" x14ac:dyDescent="0.25">
      <c r="B15" s="139"/>
      <c r="C15" s="121"/>
      <c r="D15" s="121"/>
      <c r="E15" s="123"/>
      <c r="F15" s="123"/>
      <c r="G15" s="123"/>
      <c r="H15" s="123"/>
      <c r="I15" s="123"/>
      <c r="J15" s="123"/>
      <c r="K15" s="123"/>
      <c r="M15" s="151"/>
      <c r="O15" s="1" t="s">
        <v>182</v>
      </c>
      <c r="P15" s="1" t="str">
        <f>DemTechs_INDF!S$6</f>
        <v>MANELC</v>
      </c>
      <c r="Q15" s="310" t="s">
        <v>449</v>
      </c>
      <c r="R15" s="128">
        <v>1.0416666666666666E-2</v>
      </c>
    </row>
    <row r="16" spans="2:18" ht="13.5" thickBot="1" x14ac:dyDescent="0.25">
      <c r="B16" s="121"/>
      <c r="C16" s="121"/>
      <c r="D16" s="121"/>
      <c r="E16" s="123"/>
      <c r="F16" s="123"/>
      <c r="K16" s="5"/>
      <c r="M16" s="149"/>
      <c r="O16" s="1" t="s">
        <v>182</v>
      </c>
      <c r="P16" s="1" t="str">
        <f>DemTechs_INDF!S$6</f>
        <v>MANELC</v>
      </c>
      <c r="Q16" s="161" t="s">
        <v>450</v>
      </c>
      <c r="R16" s="128">
        <v>1.0416666666666666E-2</v>
      </c>
    </row>
    <row r="17" spans="2:18" x14ac:dyDescent="0.2">
      <c r="B17" s="121"/>
      <c r="C17" s="121"/>
      <c r="D17" s="139" t="s">
        <v>223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s="310" t="s">
        <v>451</v>
      </c>
      <c r="R17" s="129">
        <v>1.0416666666666666E-2</v>
      </c>
    </row>
    <row r="18" spans="2:18" x14ac:dyDescent="0.2">
      <c r="B18" s="1"/>
      <c r="D18" t="s">
        <v>430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s="161" t="s">
        <v>452</v>
      </c>
      <c r="R18" s="128">
        <v>1.0416666666666666E-2</v>
      </c>
    </row>
    <row r="19" spans="2:18" x14ac:dyDescent="0.2">
      <c r="D19" t="s">
        <v>429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s="310" t="s">
        <v>453</v>
      </c>
      <c r="R19" s="128">
        <v>1.0416666666666666E-2</v>
      </c>
    </row>
    <row r="20" spans="2:18" x14ac:dyDescent="0.2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s="161" t="s">
        <v>454</v>
      </c>
      <c r="R20" s="128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s="310" t="s">
        <v>455</v>
      </c>
      <c r="R21" s="129">
        <v>1.0416666666666666E-2</v>
      </c>
    </row>
    <row r="22" spans="2:18" x14ac:dyDescent="0.2">
      <c r="D22" t="str">
        <f>C9</f>
        <v>MANHEAT</v>
      </c>
      <c r="E22" s="112">
        <f>E9/(E9+E10)</f>
        <v>0.78227062860412933</v>
      </c>
      <c r="F22" s="112">
        <f t="shared" ref="F22:K22" si="9">F9/(F9+F10)</f>
        <v>0.76256576228445849</v>
      </c>
      <c r="G22" s="112">
        <f t="shared" si="9"/>
        <v>0.7270847415595677</v>
      </c>
      <c r="H22" s="112">
        <f t="shared" si="9"/>
        <v>0.68846769004416375</v>
      </c>
      <c r="I22" s="112">
        <f t="shared" si="9"/>
        <v>0.64703899255905672</v>
      </c>
      <c r="J22" s="112">
        <f t="shared" si="9"/>
        <v>0.60327567141466976</v>
      </c>
      <c r="K22" s="112">
        <f t="shared" si="9"/>
        <v>0.55779458227807233</v>
      </c>
      <c r="O22" s="1" t="s">
        <v>182</v>
      </c>
      <c r="P22" s="1" t="str">
        <f>DemTechs_INDF!S$6</f>
        <v>MANELC</v>
      </c>
      <c r="Q22" s="161" t="s">
        <v>456</v>
      </c>
      <c r="R22" s="128">
        <v>1.0416666666666666E-2</v>
      </c>
    </row>
    <row r="23" spans="2:18" x14ac:dyDescent="0.2">
      <c r="D23" t="str">
        <f>C10</f>
        <v>MANELC</v>
      </c>
      <c r="E23" s="112">
        <f>E10/(E10+E9)</f>
        <v>0.21772937139587065</v>
      </c>
      <c r="F23" s="112">
        <f t="shared" ref="F23:K23" si="10">F10/(F10+F9)</f>
        <v>0.23743423771554156</v>
      </c>
      <c r="G23" s="112">
        <f t="shared" si="10"/>
        <v>0.27291525844043235</v>
      </c>
      <c r="H23" s="112">
        <f t="shared" si="10"/>
        <v>0.3115323099558362</v>
      </c>
      <c r="I23" s="112">
        <f t="shared" si="10"/>
        <v>0.35296100744094328</v>
      </c>
      <c r="J23" s="112">
        <f t="shared" si="10"/>
        <v>0.39672432858533035</v>
      </c>
      <c r="K23" s="112">
        <f t="shared" si="10"/>
        <v>0.44220541772192773</v>
      </c>
      <c r="O23" s="1" t="s">
        <v>182</v>
      </c>
      <c r="P23" s="1" t="str">
        <f>DemTechs_INDF!S$6</f>
        <v>MANELC</v>
      </c>
      <c r="Q23" s="310" t="s">
        <v>457</v>
      </c>
      <c r="R23" s="128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s="161" t="s">
        <v>458</v>
      </c>
      <c r="R24" s="128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s="310" t="s">
        <v>459</v>
      </c>
      <c r="R25" s="129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s="161" t="s">
        <v>460</v>
      </c>
      <c r="R26" s="128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s="310" t="s">
        <v>461</v>
      </c>
      <c r="R27" s="128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s="161" t="s">
        <v>462</v>
      </c>
      <c r="R28" s="128">
        <v>1.0416666666666666E-2</v>
      </c>
    </row>
    <row r="29" spans="2:18" x14ac:dyDescent="0.2">
      <c r="B29" s="122"/>
      <c r="C29" s="1" t="s">
        <v>98</v>
      </c>
      <c r="O29" s="1" t="s">
        <v>182</v>
      </c>
      <c r="P29" s="1" t="str">
        <f>DemTechs_INDF!S$6</f>
        <v>MANELC</v>
      </c>
      <c r="Q29" s="310" t="s">
        <v>463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s="161" t="s">
        <v>464</v>
      </c>
      <c r="R30" s="128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s="310" t="s">
        <v>465</v>
      </c>
      <c r="R31" s="128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s="161" t="s">
        <v>466</v>
      </c>
      <c r="R32" s="128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s="310" t="s">
        <v>467</v>
      </c>
      <c r="R33" s="129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s="161" t="s">
        <v>468</v>
      </c>
      <c r="R34" s="128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s="310" t="s">
        <v>469</v>
      </c>
      <c r="R35" s="128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185</v>
      </c>
      <c r="R36" s="128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186</v>
      </c>
      <c r="R37" s="129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187</v>
      </c>
      <c r="R38" s="128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188</v>
      </c>
      <c r="R39" s="128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189</v>
      </c>
      <c r="R40" s="128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190</v>
      </c>
      <c r="R41" s="129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191</v>
      </c>
      <c r="R42" s="128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192</v>
      </c>
      <c r="R43" s="128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193</v>
      </c>
      <c r="R44" s="128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194</v>
      </c>
      <c r="R45" s="129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195</v>
      </c>
      <c r="R46" s="128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196</v>
      </c>
      <c r="R47" s="128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197</v>
      </c>
      <c r="R48" s="128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198</v>
      </c>
      <c r="R49" s="129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199</v>
      </c>
      <c r="R50" s="128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200</v>
      </c>
      <c r="R51" s="128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201</v>
      </c>
      <c r="R52" s="128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202</v>
      </c>
      <c r="R53" s="129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203</v>
      </c>
      <c r="R54" s="128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204</v>
      </c>
      <c r="R55" s="128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205</v>
      </c>
      <c r="R56" s="128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206</v>
      </c>
      <c r="R57" s="129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207</v>
      </c>
      <c r="R58" s="128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208</v>
      </c>
      <c r="R59" s="128">
        <v>3.125E-2</v>
      </c>
    </row>
    <row r="60" spans="15:18" x14ac:dyDescent="0.2">
      <c r="O60" s="1" t="s">
        <v>182</v>
      </c>
      <c r="P60" s="153" t="s">
        <v>166</v>
      </c>
      <c r="Q60" s="153" t="s">
        <v>421</v>
      </c>
      <c r="R60" s="128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14" sqref="K14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1" t="s">
        <v>215</v>
      </c>
      <c r="C3" s="131"/>
      <c r="D3" s="131"/>
      <c r="E3" s="131"/>
      <c r="F3" s="131"/>
      <c r="G3" s="131"/>
      <c r="H3" s="131"/>
    </row>
    <row r="4" spans="2:9" ht="17.45" customHeight="1" x14ac:dyDescent="0.25">
      <c r="B4" s="132"/>
      <c r="C4" s="132"/>
      <c r="D4" s="132"/>
      <c r="E4" s="132"/>
      <c r="F4" s="132"/>
      <c r="G4" s="132"/>
    </row>
    <row r="5" spans="2:9" ht="18" x14ac:dyDescent="0.25">
      <c r="B5" s="133" t="s">
        <v>216</v>
      </c>
      <c r="C5" s="134"/>
    </row>
    <row r="6" spans="2:9" ht="13.5" thickBot="1" x14ac:dyDescent="0.25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.5" thickBot="1" x14ac:dyDescent="0.25">
      <c r="B7" s="136" t="s">
        <v>87</v>
      </c>
      <c r="C7" s="136" t="s">
        <v>217</v>
      </c>
      <c r="D7" s="136" t="s">
        <v>217</v>
      </c>
      <c r="E7" s="136" t="s">
        <v>217</v>
      </c>
      <c r="F7" s="136" t="s">
        <v>217</v>
      </c>
      <c r="G7" s="136"/>
      <c r="H7" s="136"/>
      <c r="I7" s="1"/>
    </row>
    <row r="8" spans="2:9" x14ac:dyDescent="0.2">
      <c r="B8" s="311"/>
      <c r="C8" s="311"/>
      <c r="D8" s="311"/>
      <c r="E8" s="311"/>
      <c r="F8" s="311"/>
      <c r="G8" s="311"/>
      <c r="H8" s="311"/>
      <c r="I8" s="1"/>
    </row>
    <row r="9" spans="2:9" x14ac:dyDescent="0.2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">
      <c r="B24" s="122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2025-11-13T15:44:02Z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