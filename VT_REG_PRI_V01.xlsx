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6127D0B-B6A1-4D2E-8B00-E50304DA5F3D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43" l="1"/>
  <c r="E24" i="143"/>
  <c r="E20" i="143"/>
  <c r="G31" i="143"/>
  <c r="E21" i="143"/>
  <c r="G32" i="143"/>
  <c r="E22" i="143"/>
  <c r="G33" i="143"/>
  <c r="I32" i="143"/>
  <c r="I33" i="143"/>
  <c r="F25" i="143"/>
  <c r="F24" i="143"/>
  <c r="E23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<sst xmlns="http://schemas.openxmlformats.org/spreadsheetml/2006/main" count="899" uniqueCount="474">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</sst>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425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426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435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13" zoomScale="118" zoomScaleNormal="118" workbookViewId="0">
      <selection activeCell="L26" sqref="L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7" t="s">
        <v>74</v>
      </c>
      <c r="R5" s="157"/>
      <c r="S5" s="157" t="s">
        <v>425</v>
      </c>
      <c r="T5" s="157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7" t="s">
        <v>74</v>
      </c>
      <c r="R8" s="157"/>
      <c r="S8" s="157" t="s">
        <v>426</v>
      </c>
      <c r="T8" s="157" t="s">
        <v>428</v>
      </c>
      <c r="U8" s="252" t="s">
        <v>161</v>
      </c>
      <c r="V8" s="92"/>
      <c r="W8" s="92"/>
      <c r="X8" s="92"/>
      <c r="Y8" s="92"/>
    </row>
    <row r="9" spans="2:25" x14ac:dyDescent="0.2">
      <c r="Q9" s="264" t="s">
        <v>82</v>
      </c>
      <c r="R9" s="264"/>
      <c r="S9" s="264" t="s">
        <v>435</v>
      </c>
      <c r="T9" s="264" t="s">
        <v>436</v>
      </c>
      <c r="U9" s="252" t="s">
        <v>161</v>
      </c>
      <c r="V9" s="92"/>
      <c r="W9" s="92"/>
      <c r="X9" s="92"/>
      <c r="Y9" s="92"/>
    </row>
    <row r="10" spans="2:25" x14ac:dyDescent="0.2">
      <c r="Q10" s="264"/>
      <c r="R10" s="264"/>
      <c r="S10" s="264"/>
      <c r="T10" s="264"/>
      <c r="U10" s="252"/>
      <c r="V10" s="92"/>
      <c r="W10" s="92"/>
      <c r="X10" s="92"/>
      <c r="Y10" s="92"/>
    </row>
    <row r="11" spans="2:25" x14ac:dyDescent="0.2">
      <c r="Q11" s="252" t="s">
        <v>74</v>
      </c>
      <c r="R11" s="92"/>
      <c r="S11" s="252" t="s">
        <v>438</v>
      </c>
      <c r="T11" s="252" t="s">
        <v>440</v>
      </c>
      <c r="U11" s="252" t="s">
        <v>161</v>
      </c>
      <c r="V11" s="92"/>
      <c r="W11" s="92"/>
      <c r="X11" s="92"/>
      <c r="Y11" s="92"/>
    </row>
    <row r="12" spans="2:25" x14ac:dyDescent="0.2">
      <c r="Q12" s="252"/>
      <c r="R12" s="92"/>
      <c r="S12" s="252"/>
      <c r="T12" s="252"/>
      <c r="U12" s="252"/>
      <c r="V12" s="92"/>
      <c r="W12" s="92"/>
      <c r="X12" s="92"/>
      <c r="Y12" s="92"/>
    </row>
    <row r="13" spans="2:25" x14ac:dyDescent="0.2">
      <c r="Q13" s="252"/>
      <c r="R13" s="92"/>
      <c r="S13" s="252"/>
      <c r="T13" s="252"/>
      <c r="U13" s="252"/>
      <c r="V13" s="92"/>
      <c r="W13" s="92"/>
      <c r="X13" s="92"/>
      <c r="Y13" s="92"/>
    </row>
    <row r="14" spans="2:25" x14ac:dyDescent="0.2">
      <c r="Q14" s="252"/>
      <c r="R14" s="92"/>
      <c r="S14" s="252"/>
      <c r="T14" s="252"/>
      <c r="U14" s="252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7" t="s">
        <v>172</v>
      </c>
      <c r="M17" s="97" t="s">
        <v>162</v>
      </c>
      <c r="N17" s="97" t="s">
        <v>471</v>
      </c>
      <c r="O17" s="253"/>
      <c r="P17" s="253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424</v>
      </c>
      <c r="K18" s="99" t="s">
        <v>173</v>
      </c>
      <c r="L18" s="100" t="s">
        <v>174</v>
      </c>
      <c r="M18" s="99" t="s">
        <v>163</v>
      </c>
      <c r="N18" s="99" t="s">
        <v>472</v>
      </c>
      <c r="O18" s="254"/>
      <c r="P18" s="254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3.25" thickBot="1" x14ac:dyDescent="0.25">
      <c r="B19" s="101" t="s">
        <v>87</v>
      </c>
      <c r="C19" s="101"/>
      <c r="D19" s="101"/>
      <c r="E19" s="102" t="s">
        <v>213</v>
      </c>
      <c r="F19" s="102"/>
      <c r="G19" s="102" t="s">
        <v>363</v>
      </c>
      <c r="H19" s="103" t="s">
        <v>363</v>
      </c>
      <c r="I19" s="102" t="s">
        <v>111</v>
      </c>
      <c r="J19" s="102"/>
      <c r="K19" s="102"/>
      <c r="L19" s="102"/>
      <c r="M19" s="102"/>
      <c r="N19" s="102" t="s">
        <v>473</v>
      </c>
      <c r="O19" s="255"/>
      <c r="P19" s="255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PRI_Sector_Fuels!I23/(M20*H20*G20)</f>
        <v>655.3883584705502</v>
      </c>
      <c r="F20" s="104">
        <v>0.59</v>
      </c>
      <c r="G20" s="105">
        <v>0.55000000000000004</v>
      </c>
      <c r="H20" s="105">
        <v>1</v>
      </c>
      <c r="I20" s="129">
        <v>30</v>
      </c>
      <c r="J20" s="129"/>
      <c r="K20" s="106">
        <v>1515</v>
      </c>
      <c r="L20" s="106"/>
      <c r="M20" s="106">
        <v>8.76</v>
      </c>
      <c r="N20" s="112"/>
      <c r="O20" s="112"/>
      <c r="P20" s="112"/>
      <c r="Q20" s="160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2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29">
        <v>30</v>
      </c>
      <c r="J21" s="129"/>
      <c r="K21" s="106">
        <v>1515</v>
      </c>
      <c r="L21" s="106"/>
      <c r="M21" s="106">
        <v>8.76</v>
      </c>
      <c r="N21" s="112"/>
      <c r="O21" s="112"/>
      <c r="P21" s="112"/>
      <c r="Q21" s="160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2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29"/>
      <c r="K22" s="106">
        <v>1515</v>
      </c>
      <c r="L22" s="106"/>
      <c r="M22" s="106">
        <v>8.76</v>
      </c>
      <c r="N22" s="112"/>
      <c r="O22" s="112"/>
      <c r="P22" s="112"/>
      <c r="Q22" s="90" t="s">
        <v>112</v>
      </c>
      <c r="S22" s="160" t="s">
        <v>166</v>
      </c>
      <c r="T22" s="90" t="s">
        <v>219</v>
      </c>
      <c r="U22" s="90" t="s">
        <v>161</v>
      </c>
      <c r="V22" s="90" t="s">
        <v>153</v>
      </c>
      <c r="W22" s="166" t="s">
        <v>225</v>
      </c>
    </row>
    <row r="23" spans="2:25" s="156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59">
        <v>1</v>
      </c>
      <c r="G23" s="156">
        <v>1</v>
      </c>
      <c r="H23" s="156">
        <v>1</v>
      </c>
      <c r="I23" s="156">
        <v>50</v>
      </c>
      <c r="K23" s="156">
        <v>1515</v>
      </c>
      <c r="M23" s="156">
        <v>8.76</v>
      </c>
      <c r="Q23" s="156" t="s">
        <v>439</v>
      </c>
      <c r="S23" s="156" t="s">
        <v>438</v>
      </c>
      <c r="T23" s="156" t="s">
        <v>437</v>
      </c>
      <c r="U23" s="96" t="s">
        <v>161</v>
      </c>
      <c r="V23" s="96" t="s">
        <v>153</v>
      </c>
      <c r="W23" s="167"/>
    </row>
    <row r="24" spans="2:25" s="156" customFormat="1" x14ac:dyDescent="0.2">
      <c r="B24" s="96" t="str">
        <f>S23</f>
        <v>PHEAT</v>
      </c>
      <c r="C24" s="157" t="str">
        <f>DemTechs_INDF!D20</f>
        <v>MANHEATCOAL</v>
      </c>
      <c r="D24" s="92" t="str">
        <f>S9</f>
        <v>MANHEAT</v>
      </c>
      <c r="E24" s="158">
        <f>E20+E21</f>
        <v>1593.2048798487153</v>
      </c>
      <c r="F24" s="159">
        <f>I32</f>
        <v>0.74661277027941986</v>
      </c>
      <c r="G24" s="156">
        <v>1</v>
      </c>
      <c r="H24" s="156">
        <v>1</v>
      </c>
      <c r="I24" s="156">
        <v>50</v>
      </c>
      <c r="K24" s="156">
        <v>1515</v>
      </c>
      <c r="M24" s="156">
        <v>8.76</v>
      </c>
      <c r="U24" s="96"/>
      <c r="V24" s="96"/>
    </row>
    <row r="25" spans="2:25" s="156" customFormat="1" x14ac:dyDescent="0.2">
      <c r="B25" s="96" t="str">
        <f>S23</f>
        <v>PHEAT</v>
      </c>
      <c r="C25" s="157" t="str">
        <f>D22</f>
        <v>MANHEATOIL</v>
      </c>
      <c r="D25" s="92" t="str">
        <f>S9</f>
        <v>MANHEAT</v>
      </c>
      <c r="E25" s="158">
        <f>E22</f>
        <v>371.73515981735164</v>
      </c>
      <c r="F25" s="159">
        <f>I33</f>
        <v>0.25338722972058014</v>
      </c>
      <c r="G25" s="156">
        <v>1</v>
      </c>
      <c r="H25" s="156">
        <v>1</v>
      </c>
      <c r="I25" s="156">
        <v>50</v>
      </c>
      <c r="K25" s="156">
        <v>1515</v>
      </c>
      <c r="M25" s="156">
        <v>8.76</v>
      </c>
      <c r="U25" s="96"/>
      <c r="V25" s="96"/>
    </row>
    <row r="26" spans="2:25" s="156" customFormat="1" x14ac:dyDescent="0.2">
      <c r="B26" s="96" t="s">
        <v>152</v>
      </c>
      <c r="C26" s="157"/>
      <c r="D26" s="252" t="s">
        <v>470</v>
      </c>
      <c r="E26" s="158"/>
      <c r="F26" s="159"/>
      <c r="N26" s="137">
        <v>0.34100000000000003</v>
      </c>
      <c r="Q26" s="265"/>
      <c r="R26" s="265"/>
      <c r="S26" s="265"/>
      <c r="T26" s="265"/>
      <c r="U26" s="96"/>
      <c r="V26" s="96"/>
    </row>
    <row r="27" spans="2:25" s="156" customFormat="1" x14ac:dyDescent="0.2">
      <c r="B27" s="96" t="s">
        <v>154</v>
      </c>
      <c r="C27" s="157"/>
      <c r="D27" s="252" t="s">
        <v>470</v>
      </c>
      <c r="E27" s="158"/>
      <c r="F27" s="159"/>
      <c r="N27" s="137">
        <v>0.25900000000000001</v>
      </c>
      <c r="V27" s="96"/>
    </row>
    <row r="28" spans="2:25" s="112" customFormat="1" x14ac:dyDescent="0.2">
      <c r="B28" s="160"/>
      <c r="C28" s="92"/>
      <c r="D28" s="92"/>
      <c r="E28" s="158"/>
      <c r="F28" s="159"/>
      <c r="G28" s="156"/>
      <c r="H28" s="156"/>
      <c r="I28" s="156"/>
      <c r="J28" s="156"/>
      <c r="K28" s="156"/>
    </row>
    <row r="29" spans="2:25" x14ac:dyDescent="0.2">
      <c r="B29" s="160"/>
      <c r="C29" s="92"/>
      <c r="D29" s="92"/>
      <c r="E29" s="158"/>
      <c r="F29" s="159"/>
      <c r="G29" s="156"/>
      <c r="H29" s="156"/>
      <c r="I29" s="156"/>
      <c r="J29" s="156"/>
      <c r="K29" s="156"/>
    </row>
    <row r="30" spans="2:25" x14ac:dyDescent="0.2">
      <c r="B30" s="160"/>
      <c r="C30" s="92"/>
      <c r="D30" s="157"/>
      <c r="E30" s="158"/>
      <c r="F30" s="159"/>
      <c r="G30" s="156">
        <v>2022</v>
      </c>
      <c r="H30" s="156">
        <v>2022</v>
      </c>
      <c r="I30" s="156">
        <v>2022</v>
      </c>
      <c r="J30" s="156"/>
      <c r="K30" s="156" t="s">
        <v>445</v>
      </c>
    </row>
    <row r="31" spans="2:25" x14ac:dyDescent="0.2">
      <c r="E31" s="160" t="s">
        <v>442</v>
      </c>
      <c r="F31" s="108"/>
      <c r="G31" s="90">
        <f>E20*G20*H20*M20</f>
        <v>3157.661111111111</v>
      </c>
      <c r="H31" s="263">
        <f>G31/(G31+G32)</f>
        <v>0.41136476969163155</v>
      </c>
      <c r="K31" s="263">
        <f>G31/G$35</f>
        <v>0.24025892702523827</v>
      </c>
      <c r="U31" s="92"/>
      <c r="V31" s="92"/>
      <c r="W31" s="166"/>
    </row>
    <row r="32" spans="2:25" x14ac:dyDescent="0.2">
      <c r="E32" s="160" t="s">
        <v>443</v>
      </c>
      <c r="F32" s="108"/>
      <c r="G32" s="90">
        <f t="shared" ref="G32:G33" si="0">E21*G21*H21*M21</f>
        <v>4518.3999999999996</v>
      </c>
      <c r="H32" s="263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3">
        <f t="shared" ref="K32:K34" si="1">G32/G$35</f>
        <v>0.34379431410511396</v>
      </c>
      <c r="R32" s="112"/>
      <c r="T32" s="112"/>
      <c r="U32" s="113"/>
      <c r="V32" s="113"/>
    </row>
    <row r="33" spans="2:11" x14ac:dyDescent="0.2">
      <c r="E33" s="160" t="s">
        <v>45</v>
      </c>
      <c r="F33" s="108"/>
      <c r="G33" s="90">
        <f t="shared" si="0"/>
        <v>2605.1200000000003</v>
      </c>
      <c r="H33" s="109">
        <f>G33/G33</f>
        <v>1</v>
      </c>
      <c r="I33" s="90">
        <f>1-I32</f>
        <v>0.25338722972058014</v>
      </c>
      <c r="K33" s="263">
        <f t="shared" si="1"/>
        <v>0.19821738747377715</v>
      </c>
    </row>
    <row r="34" spans="2:11" x14ac:dyDescent="0.2">
      <c r="E34" s="160" t="s">
        <v>46</v>
      </c>
      <c r="G34" s="90">
        <f>E23*G23*H23*M23</f>
        <v>2861.5609722222221</v>
      </c>
      <c r="H34" s="109">
        <f>G34/G34</f>
        <v>1</v>
      </c>
      <c r="I34" s="108">
        <f>H34</f>
        <v>1</v>
      </c>
      <c r="K34" s="263">
        <f t="shared" si="1"/>
        <v>0.21772937139587065</v>
      </c>
    </row>
    <row r="35" spans="2:11" x14ac:dyDescent="0.2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">
      <c r="B36" s="110"/>
      <c r="C36" s="90" t="s">
        <v>99</v>
      </c>
      <c r="H36" s="109"/>
    </row>
    <row r="37" spans="2:11" x14ac:dyDescent="0.2">
      <c r="E37" s="90" t="s">
        <v>210</v>
      </c>
      <c r="F37" s="90" t="s">
        <v>212</v>
      </c>
      <c r="H37" s="109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E9" sqref="E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435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DemTechs_INDF!S$6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DemTechs_INDF!S$6</f>
        <v>MANELC</v>
      </c>
      <c r="Q12" s="160" t="s">
        <v>446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DemTechs_INDF!S$6</f>
        <v>MANELC</v>
      </c>
      <c r="Q13" s="308" t="s">
        <v>447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DemTechs_INDF!S$6</f>
        <v>MANELC</v>
      </c>
      <c r="Q14" s="160" t="s">
        <v>448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DemTechs_INDF!S$6</f>
        <v>MANELC</v>
      </c>
      <c r="Q15" s="308" t="s">
        <v>449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DemTechs_INDF!S$6</f>
        <v>MANELC</v>
      </c>
      <c r="Q16" s="160" t="s">
        <v>450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DemTechs_INDF!S$6</f>
        <v>MANELC</v>
      </c>
      <c r="Q17" s="308" t="s">
        <v>451</v>
      </c>
      <c r="R17" s="128">
        <v>1.0416666666666666E-2</v>
      </c>
    </row>
    <row r="18" spans="2:18" x14ac:dyDescent="0.2">
      <c r="B18" s="1"/>
      <c r="D18" t="s">
        <v>430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DemTechs_INDF!S$6</f>
        <v>MANELC</v>
      </c>
      <c r="Q18" s="160" t="s">
        <v>452</v>
      </c>
      <c r="R18" s="127">
        <v>1.0416666666666666E-2</v>
      </c>
    </row>
    <row r="19" spans="2:18" x14ac:dyDescent="0.2">
      <c r="D19" t="s">
        <v>429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DemTechs_INDF!S$6</f>
        <v>MANELC</v>
      </c>
      <c r="Q19" s="308" t="s">
        <v>453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DemTechs_INDF!S$6</f>
        <v>MANELC</v>
      </c>
      <c r="Q20" s="160" t="s">
        <v>454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08" t="s">
        <v>455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s="160" t="s">
        <v>456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s="308" t="s">
        <v>457</v>
      </c>
      <c r="R23" s="127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0" t="s">
        <v>458</v>
      </c>
      <c r="R24" s="127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08" t="s">
        <v>459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0" t="s">
        <v>460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08" t="s">
        <v>461</v>
      </c>
      <c r="R27" s="127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0" t="s">
        <v>462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DemTechs_INDF!S$6</f>
        <v>MANELC</v>
      </c>
      <c r="Q29" s="308" t="s">
        <v>463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0" t="s">
        <v>464</v>
      </c>
      <c r="R30" s="127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08" t="s">
        <v>465</v>
      </c>
      <c r="R31" s="127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0" t="s">
        <v>466</v>
      </c>
      <c r="R32" s="127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08" t="s">
        <v>467</v>
      </c>
      <c r="R33" s="128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0" t="s">
        <v>468</v>
      </c>
      <c r="R34" s="127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08" t="s">
        <v>469</v>
      </c>
      <c r="R35" s="127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DemTechs_INDF!S7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2025-11-13T16:52:22Z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