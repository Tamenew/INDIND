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BA419ED5-01B5-4F1F-8FE2-C8E6F9B7417F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43" l="1"/>
  <c r="E18" i="143"/>
  <c r="E17" i="143"/>
  <c r="E16" i="143"/>
  <c r="D23" i="137"/>
  <c r="D24" i="137"/>
  <c r="D25" i="137"/>
  <c r="I23" i="137"/>
  <c r="E40" i="133"/>
  <c r="D39" i="133"/>
  <c r="D38" i="13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7" i="143"/>
  <c r="D18" i="143"/>
  <c r="D16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/>
  <c r="E18" i="133"/>
  <c r="F18" i="133"/>
  <c r="G18" i="133"/>
  <c r="H18" i="133"/>
  <c r="I18" i="133"/>
  <c r="J18" i="133"/>
  <c r="E10" i="145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/>
  <c r="J10" i="145"/>
  <c r="K10" i="145"/>
  <c r="H10" i="145"/>
  <c r="F10" i="145"/>
  <c r="G10" i="145"/>
  <c r="G9" i="145"/>
  <c r="K9" i="145"/>
  <c r="H9" i="145"/>
  <c r="H13" i="145"/>
  <c r="J9" i="145"/>
  <c r="F9" i="145"/>
  <c r="F13" i="145"/>
  <c r="I9" i="145"/>
  <c r="I13" i="145"/>
  <c r="C9" i="145"/>
  <c r="J13" i="145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/>
  <c r="I26" i="137"/>
  <c r="I25" i="137"/>
  <c r="E13" i="145"/>
  <c r="E12" i="145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<sst xmlns="http://schemas.openxmlformats.org/spreadsheetml/2006/main" count="856" uniqueCount="453">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</sst>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3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17" borderId="0" xfId="9" applyFont="1" applyFill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I23" sqref="I2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/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/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/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/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zoomScale="118" zoomScaleNormal="118" workbookViewId="0">
      <selection activeCell="L16" sqref="L16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451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100" t="s">
        <v>8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1515</v>
      </c>
      <c r="K16" s="108"/>
      <c r="L16" s="292" t="s">
        <v>452</v>
      </c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1515</v>
      </c>
      <c r="K17" s="108"/>
      <c r="L17" s="292" t="s">
        <v>452</v>
      </c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08">
        <v>1212</v>
      </c>
      <c r="K18" s="108"/>
      <c r="L18" s="292" t="s">
        <v>452</v>
      </c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59">
        <v>1111</v>
      </c>
      <c r="L19" s="292" t="s">
        <v>452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zoomScale="226" zoomScaleNormal="226" workbookViewId="0">
      <selection activeCell="C9" sqref="C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>
        <f t="shared" ref="F9:K9" si="0">$E$9*(1+$M$9)^(F6-$E$6)</f>
        <v>20811.797787542779</v>
      </c>
      <c r="G9" s="124">
        <f t="shared" si="0"/>
        <v>67412.770774944656</v>
      </c>
      <c r="H9" s="124">
        <f t="shared" si="0"/>
        <v>218360.84080518034</v>
      </c>
      <c r="I9" s="124">
        <f t="shared" si="0"/>
        <v>707305.9933455087</v>
      </c>
      <c r="J9" s="124">
        <f t="shared" si="0"/>
        <v>2291078.2280272678</v>
      </c>
      <c r="K9" s="124">
        <f t="shared" si="0"/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>
        <f t="shared" ref="F10:K10" si="1">$E$10*(1+$M$10)^(F6-$E$6)</f>
        <v>3692.8738709213426</v>
      </c>
      <c r="G10" s="124">
        <f t="shared" si="1"/>
        <v>5648.9387778083592</v>
      </c>
      <c r="H10" s="124">
        <f t="shared" si="1"/>
        <v>8641.1045789293585</v>
      </c>
      <c r="I10" s="124">
        <f t="shared" si="1"/>
        <v>13218.179782249905</v>
      </c>
      <c r="J10" s="124">
        <f t="shared" si="1"/>
        <v>20219.669274912092</v>
      </c>
      <c r="K10" s="124">
        <f t="shared" si="1"/>
        <v>30929.752229261561</v>
      </c>
      <c r="M10" s="153">
        <f>EBF!L63</f>
        <v>8.8730723400078371E-2</v>
      </c>
      <c r="O10" s="1" t="s">
        <v>185</v>
      </c>
      <c r="P10" s="1" t="str">
        <f>DemTechs_INDF!P$6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DemTechs_INDF!P$6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2">G10/(G$9+G$10)</f>
        <v>7.7317363806408537E-2</v>
      </c>
      <c r="H12" s="266">
        <f t="shared" si="2"/>
        <v>3.8066213768819274E-2</v>
      </c>
      <c r="I12" s="266">
        <f t="shared" si="2"/>
        <v>1.8345227370888145E-2</v>
      </c>
      <c r="J12" s="266">
        <f t="shared" si="2"/>
        <v>8.7481883224629457E-3</v>
      </c>
      <c r="K12" s="266">
        <f t="shared" si="2"/>
        <v>4.1504736753843075E-3</v>
      </c>
      <c r="M12" s="151"/>
      <c r="N12" s="5"/>
      <c r="O12" s="1" t="s">
        <v>185</v>
      </c>
      <c r="P12" s="1" t="str">
        <f>DemTechs_INDF!P$6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3">G9/(G$9+G$10)</f>
        <v>0.92268263619359148</v>
      </c>
      <c r="H13" s="266">
        <f t="shared" si="3"/>
        <v>0.96193378623118064</v>
      </c>
      <c r="I13" s="266">
        <f t="shared" si="3"/>
        <v>0.98165477262911194</v>
      </c>
      <c r="J13" s="266">
        <f t="shared" si="3"/>
        <v>0.99125181167753695</v>
      </c>
      <c r="K13" s="266">
        <f t="shared" si="3"/>
        <v>0.99584952632461576</v>
      </c>
      <c r="M13" s="151"/>
      <c r="O13" s="1" t="s">
        <v>185</v>
      </c>
      <c r="P13" s="1" t="str">
        <f>DemTechs_INDF!P$6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29">
        <v>3.125E-2</v>
      </c>
    </row>
    <row r="60" spans="15:18" x14ac:dyDescent="0.2">
      <c r="O60" s="1" t="s">
        <v>185</v>
      </c>
      <c r="P60" s="155" t="s">
        <v>167</v>
      </c>
      <c r="Q60" s="155" t="s">
        <v>450</v>
      </c>
      <c r="R60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2025-11-07T16:03:47Z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