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E3A0A40E-4E29-4E10-B343-27BBEE6CFFE3}" xr6:coauthVersionLast="47" xr6:coauthVersionMax="47" xr10:uidLastSave="{00000000-0000-0000-0000-000000000000}"/>
  <bookViews>
    <workbookView xWindow="-120" yWindow="-120" windowWidth="29040" windowHeight="15720" tabRatio="890" activeTab="6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37" l="1"/>
  <c r="E40" i="133"/>
  <c r="D39" i="133"/>
  <c r="D38" i="133"/>
  <c r="E19" i="143" l="1"/>
  <c r="E17" i="143"/>
  <c r="E18" i="143"/>
  <c r="E16" i="143"/>
  <c r="N10" i="145"/>
  <c r="N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 s="1"/>
  <c r="G67" i="147"/>
  <c r="E55" i="133"/>
  <c r="F55" i="133"/>
  <c r="G55" i="133"/>
  <c r="H55" i="133"/>
  <c r="D55" i="133"/>
  <c r="E54" i="133"/>
  <c r="F54" i="133"/>
  <c r="G54" i="133"/>
  <c r="I54" i="133" s="1"/>
  <c r="H54" i="133"/>
  <c r="D54" i="133"/>
  <c r="D57" i="133" s="1"/>
  <c r="E53" i="133"/>
  <c r="F53" i="133"/>
  <c r="G53" i="133"/>
  <c r="I53" i="133" s="1"/>
  <c r="L53" i="133" s="1"/>
  <c r="H53" i="133"/>
  <c r="D53" i="133"/>
  <c r="E52" i="133"/>
  <c r="F52" i="133"/>
  <c r="G52" i="133"/>
  <c r="H52" i="133"/>
  <c r="D52" i="133"/>
  <c r="D56" i="133" s="1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 s="1"/>
  <c r="S3" i="149"/>
  <c r="V3" i="149" s="1"/>
  <c r="R3" i="149"/>
  <c r="U3" i="149" s="1"/>
  <c r="J2" i="149"/>
  <c r="H2" i="149"/>
  <c r="G2" i="149"/>
  <c r="J20" i="148"/>
  <c r="K20" i="148" s="1"/>
  <c r="J19" i="148"/>
  <c r="L19" i="148" s="1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 s="1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 s="1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 s="1"/>
  <c r="E71" i="147"/>
  <c r="E81" i="147" s="1"/>
  <c r="D71" i="147"/>
  <c r="D113" i="147" s="1"/>
  <c r="C71" i="147"/>
  <c r="B71" i="147"/>
  <c r="B113" i="147" s="1"/>
  <c r="F70" i="147"/>
  <c r="F94" i="147" s="1"/>
  <c r="E70" i="147"/>
  <c r="E112" i="147" s="1"/>
  <c r="F69" i="147"/>
  <c r="F111" i="147" s="1"/>
  <c r="D69" i="147"/>
  <c r="D111" i="147" s="1"/>
  <c r="B69" i="147"/>
  <c r="F68" i="147"/>
  <c r="F110" i="147" s="1"/>
  <c r="F109" i="147" s="1"/>
  <c r="F67" i="147"/>
  <c r="D67" i="147"/>
  <c r="C67" i="147"/>
  <c r="B67" i="147"/>
  <c r="F66" i="147"/>
  <c r="G66" i="147" s="1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 s="1"/>
  <c r="H65" i="147"/>
  <c r="F65" i="147"/>
  <c r="F100" i="147" s="1"/>
  <c r="E65" i="147"/>
  <c r="E100" i="147" s="1"/>
  <c r="D65" i="147"/>
  <c r="D82" i="147" s="1"/>
  <c r="C65" i="147"/>
  <c r="B65" i="147"/>
  <c r="P64" i="147"/>
  <c r="O64" i="147"/>
  <c r="N64" i="147"/>
  <c r="N107" i="147" s="1"/>
  <c r="M64" i="147"/>
  <c r="L64" i="147"/>
  <c r="L107" i="147" s="1"/>
  <c r="K64" i="147"/>
  <c r="K107" i="147" s="1"/>
  <c r="J64" i="147"/>
  <c r="I64" i="147"/>
  <c r="F61" i="147"/>
  <c r="F76" i="147" s="1"/>
  <c r="D61" i="147"/>
  <c r="D76" i="147" s="1"/>
  <c r="B61" i="147"/>
  <c r="B76" i="147" s="1"/>
  <c r="F60" i="147"/>
  <c r="F75" i="147" s="1"/>
  <c r="E60" i="147"/>
  <c r="E75" i="147" s="1"/>
  <c r="D60" i="147"/>
  <c r="D75" i="147" s="1"/>
  <c r="B60" i="147"/>
  <c r="B75" i="147" s="1"/>
  <c r="F58" i="147"/>
  <c r="D58" i="147"/>
  <c r="C58" i="147"/>
  <c r="B58" i="147"/>
  <c r="B70" i="147" s="1"/>
  <c r="F57" i="147"/>
  <c r="D57" i="147"/>
  <c r="D70" i="147" s="1"/>
  <c r="C57" i="147"/>
  <c r="C70" i="147" s="1"/>
  <c r="B57" i="147"/>
  <c r="E56" i="147"/>
  <c r="E40" i="147" s="1"/>
  <c r="C56" i="147"/>
  <c r="C61" i="147" s="1"/>
  <c r="C76" i="147" s="1"/>
  <c r="F55" i="147"/>
  <c r="E55" i="147"/>
  <c r="E68" i="147" s="1"/>
  <c r="D55" i="147"/>
  <c r="D68" i="147" s="1"/>
  <c r="C55" i="147"/>
  <c r="C60" i="147" s="1"/>
  <c r="C75" i="147" s="1"/>
  <c r="B55" i="147"/>
  <c r="B68" i="147" s="1"/>
  <c r="F53" i="147"/>
  <c r="D53" i="147"/>
  <c r="C53" i="147"/>
  <c r="B53" i="147"/>
  <c r="E51" i="147"/>
  <c r="E25" i="147" s="1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 s="1"/>
  <c r="G43" i="147" s="1"/>
  <c r="F38" i="147"/>
  <c r="E38" i="147"/>
  <c r="O28" i="147"/>
  <c r="O29" i="147" s="1"/>
  <c r="E27" i="147"/>
  <c r="O32" i="147" s="1"/>
  <c r="P26" i="147"/>
  <c r="P68" i="147" s="1"/>
  <c r="M26" i="147"/>
  <c r="M68" i="147" s="1"/>
  <c r="J26" i="147"/>
  <c r="J68" i="147" s="1"/>
  <c r="J110" i="147" s="1"/>
  <c r="F26" i="147"/>
  <c r="E26" i="147"/>
  <c r="O31" i="147" s="1"/>
  <c r="D26" i="147"/>
  <c r="C26" i="147"/>
  <c r="B26" i="147"/>
  <c r="R25" i="147"/>
  <c r="O25" i="147"/>
  <c r="P25" i="147" s="1"/>
  <c r="N25" i="147"/>
  <c r="M25" i="147"/>
  <c r="L25" i="147"/>
  <c r="K25" i="147"/>
  <c r="I25" i="147"/>
  <c r="J25" i="147" s="1"/>
  <c r="G25" i="147"/>
  <c r="F25" i="147"/>
  <c r="D25" i="147"/>
  <c r="C25" i="147"/>
  <c r="B25" i="147"/>
  <c r="D19" i="143"/>
  <c r="D17" i="143"/>
  <c r="D18" i="143"/>
  <c r="D16" i="143"/>
  <c r="C19" i="143"/>
  <c r="F56" i="133" l="1"/>
  <c r="F57" i="133" s="1"/>
  <c r="E56" i="133"/>
  <c r="E57" i="133" s="1"/>
  <c r="H56" i="133"/>
  <c r="H57" i="133" s="1"/>
  <c r="G56" i="133"/>
  <c r="I52" i="133"/>
  <c r="L52" i="133" s="1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 s="1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 s="1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 s="1"/>
  <c r="M110" i="147"/>
  <c r="B82" i="147"/>
  <c r="B86" i="147"/>
  <c r="B84" i="147"/>
  <c r="B97" i="147"/>
  <c r="E103" i="147"/>
  <c r="G70" i="147"/>
  <c r="G112" i="147" s="1"/>
  <c r="E90" i="147"/>
  <c r="F92" i="147"/>
  <c r="G68" i="147"/>
  <c r="G110" i="147" s="1"/>
  <c r="F80" i="147"/>
  <c r="E108" i="147"/>
  <c r="C69" i="147"/>
  <c r="G71" i="147"/>
  <c r="G113" i="147" s="1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 s="1"/>
  <c r="E80" i="147"/>
  <c r="G69" i="147"/>
  <c r="G111" i="147" s="1"/>
  <c r="F93" i="147"/>
  <c r="F82" i="147"/>
  <c r="B108" i="147"/>
  <c r="G65" i="147"/>
  <c r="D89" i="147"/>
  <c r="E39" i="147"/>
  <c r="E53" i="147"/>
  <c r="C68" i="147"/>
  <c r="C84" i="147" s="1"/>
  <c r="F72" i="147"/>
  <c r="G72" i="147" s="1"/>
  <c r="F78" i="147"/>
  <c r="F89" i="147"/>
  <c r="B94" i="147"/>
  <c r="E69" i="147"/>
  <c r="C113" i="147"/>
  <c r="D81" i="147"/>
  <c r="D94" i="147"/>
  <c r="O26" i="137"/>
  <c r="B26" i="137" s="1"/>
  <c r="I56" i="133" l="1"/>
  <c r="G57" i="133"/>
  <c r="I57" i="133" s="1"/>
  <c r="E111" i="147"/>
  <c r="E92" i="147"/>
  <c r="E94" i="147"/>
  <c r="E102" i="147"/>
  <c r="E89" i="147"/>
  <c r="E72" i="147"/>
  <c r="E79" i="147"/>
  <c r="C79" i="147"/>
  <c r="D102" i="147"/>
  <c r="C92" i="147"/>
  <c r="C95" i="147" s="1"/>
  <c r="C111" i="147"/>
  <c r="C102" i="147"/>
  <c r="C89" i="147"/>
  <c r="C72" i="147"/>
  <c r="E98" i="147"/>
  <c r="J98" i="147" s="1"/>
  <c r="E85" i="147"/>
  <c r="E82" i="147"/>
  <c r="K68" i="147"/>
  <c r="K110" i="147" s="1"/>
  <c r="E109" i="147"/>
  <c r="C82" i="147"/>
  <c r="P82" i="147" s="1"/>
  <c r="J82" i="147"/>
  <c r="C93" i="147"/>
  <c r="D95" i="147"/>
  <c r="C94" i="147"/>
  <c r="C110" i="147"/>
  <c r="C109" i="147" s="1"/>
  <c r="C78" i="147"/>
  <c r="C101" i="147"/>
  <c r="C88" i="147"/>
  <c r="N68" i="147"/>
  <c r="N110" i="147" s="1"/>
  <c r="E86" i="147"/>
  <c r="F102" i="147"/>
  <c r="F95" i="147"/>
  <c r="R39" i="147"/>
  <c r="E46" i="147"/>
  <c r="E45" i="147"/>
  <c r="E93" i="147"/>
  <c r="B109" i="147"/>
  <c r="D26" i="137"/>
  <c r="L57" i="133" l="1"/>
  <c r="K57" i="133"/>
  <c r="L56" i="133"/>
  <c r="K56" i="133"/>
  <c r="M82" i="147"/>
  <c r="E95" i="147"/>
  <c r="D16" i="133" l="1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 s="1"/>
  <c r="E18" i="133"/>
  <c r="F18" i="133"/>
  <c r="G18" i="133"/>
  <c r="H18" i="133"/>
  <c r="I18" i="133"/>
  <c r="J18" i="133"/>
  <c r="E10" i="145" s="1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J10" i="145" l="1"/>
  <c r="K10" i="145"/>
  <c r="L10" i="145"/>
  <c r="I10" i="145"/>
  <c r="G10" i="145"/>
  <c r="H10" i="145"/>
  <c r="H9" i="145"/>
  <c r="L9" i="145"/>
  <c r="I9" i="145"/>
  <c r="I13" i="145" s="1"/>
  <c r="K9" i="145"/>
  <c r="G9" i="145"/>
  <c r="G13" i="145" s="1"/>
  <c r="J9" i="145"/>
  <c r="J13" i="145" s="1"/>
  <c r="C9" i="145"/>
  <c r="K13" i="145" l="1"/>
  <c r="L13" i="145"/>
  <c r="H13" i="145"/>
  <c r="H12" i="145"/>
  <c r="G12" i="145"/>
  <c r="L12" i="145"/>
  <c r="K12" i="145"/>
  <c r="I12" i="145"/>
  <c r="J12" i="145"/>
  <c r="E6" i="146"/>
  <c r="F6" i="146"/>
  <c r="D6" i="146"/>
  <c r="C6" i="146"/>
  <c r="E20" i="145"/>
  <c r="E19" i="145"/>
  <c r="F35" i="143"/>
  <c r="C10" i="145" l="1"/>
  <c r="I26" i="137"/>
  <c r="I25" i="137"/>
  <c r="E13" i="145" l="1"/>
  <c r="E12" i="145"/>
  <c r="B18" i="143"/>
  <c r="P25" i="137"/>
  <c r="F13" i="144"/>
  <c r="G13" i="144"/>
  <c r="H13" i="144"/>
  <c r="I13" i="144"/>
  <c r="K13" i="144" s="1"/>
  <c r="K11" i="144"/>
  <c r="K12" i="144"/>
  <c r="K10" i="144"/>
  <c r="H11" i="144"/>
  <c r="G11" i="144"/>
  <c r="J8" i="133"/>
  <c r="J11" i="144"/>
  <c r="R7" i="143"/>
  <c r="F2" i="143"/>
  <c r="E2" i="143"/>
  <c r="R17" i="143" s="1"/>
  <c r="C2" i="143"/>
  <c r="Q7" i="143" s="1"/>
  <c r="B2" i="143"/>
  <c r="G2" i="145"/>
  <c r="E2" i="145"/>
  <c r="D10" i="145" s="1"/>
  <c r="G4" i="137"/>
  <c r="G3" i="137"/>
  <c r="C16" i="143"/>
  <c r="C18" i="143"/>
  <c r="D46" i="133"/>
  <c r="K46" i="133" s="1"/>
  <c r="K48" i="144"/>
  <c r="E47" i="144"/>
  <c r="K47" i="144" s="1"/>
  <c r="D46" i="144"/>
  <c r="K46" i="144" s="1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 s="1"/>
  <c r="D13" i="144"/>
  <c r="I8" i="144"/>
  <c r="H8" i="144"/>
  <c r="G8" i="144"/>
  <c r="F8" i="144"/>
  <c r="F11" i="144" s="1"/>
  <c r="E8" i="144"/>
  <c r="D8" i="144"/>
  <c r="K6" i="144"/>
  <c r="J5" i="144"/>
  <c r="J8" i="144" s="1"/>
  <c r="D25" i="137"/>
  <c r="M25" i="137"/>
  <c r="K48" i="133"/>
  <c r="I24" i="137"/>
  <c r="D24" i="137"/>
  <c r="D23" i="137"/>
  <c r="B17" i="143"/>
  <c r="B16" i="143"/>
  <c r="C17" i="143"/>
  <c r="D2" i="143"/>
  <c r="O25" i="137" l="1"/>
  <c r="B25" i="137" s="1"/>
  <c r="D9" i="145"/>
  <c r="P7" i="143"/>
  <c r="B8" i="146" s="1"/>
  <c r="D40" i="133"/>
  <c r="E47" i="133"/>
  <c r="K47" i="133" s="1"/>
  <c r="D25" i="144"/>
  <c r="K17" i="144"/>
  <c r="K25" i="144" s="1"/>
  <c r="K5" i="144"/>
  <c r="K8" i="144" s="1"/>
  <c r="R16" i="143"/>
  <c r="Q28" i="145" l="1"/>
  <c r="Q44" i="145"/>
  <c r="Q11" i="145"/>
  <c r="Q14" i="145"/>
  <c r="Q30" i="145"/>
  <c r="Q13" i="145"/>
  <c r="Q31" i="145"/>
  <c r="Q47" i="145"/>
  <c r="Q16" i="145"/>
  <c r="Q48" i="145"/>
  <c r="Q37" i="145"/>
  <c r="Q22" i="145"/>
  <c r="Q39" i="145"/>
  <c r="Q24" i="145"/>
  <c r="Q41" i="145"/>
  <c r="Q26" i="145"/>
  <c r="Q27" i="145"/>
  <c r="Q29" i="145"/>
  <c r="Q45" i="145"/>
  <c r="Q12" i="145"/>
  <c r="Q46" i="145"/>
  <c r="Q15" i="145"/>
  <c r="Q10" i="145"/>
  <c r="Q32" i="145"/>
  <c r="Q53" i="145"/>
  <c r="Q54" i="145"/>
  <c r="Q55" i="145"/>
  <c r="Q40" i="145"/>
  <c r="Q57" i="145"/>
  <c r="Q58" i="145"/>
  <c r="Q59" i="145"/>
  <c r="Q17" i="145"/>
  <c r="Q33" i="145"/>
  <c r="Q49" i="145"/>
  <c r="Q18" i="145"/>
  <c r="Q34" i="145"/>
  <c r="Q50" i="145"/>
  <c r="Q19" i="145"/>
  <c r="Q35" i="145"/>
  <c r="Q51" i="145"/>
  <c r="Q20" i="145"/>
  <c r="Q36" i="145"/>
  <c r="Q52" i="145"/>
  <c r="Q21" i="145"/>
  <c r="Q38" i="145"/>
  <c r="Q23" i="145"/>
  <c r="Q56" i="145"/>
  <c r="Q25" i="145"/>
  <c r="Q42" i="145"/>
  <c r="Q43" i="145"/>
  <c r="I8" i="133"/>
  <c r="H8" i="133"/>
  <c r="G8" i="133"/>
  <c r="M24" i="137"/>
  <c r="M23" i="137"/>
  <c r="G2" i="137"/>
  <c r="D2" i="137"/>
  <c r="P23" i="137" s="1"/>
  <c r="C2" i="137"/>
  <c r="I22" i="137" l="1"/>
  <c r="G22" i="137"/>
  <c r="O23" i="137"/>
  <c r="B23" i="137" s="1"/>
  <c r="O24" i="137"/>
  <c r="B24" i="137" s="1"/>
  <c r="P24" i="137"/>
  <c r="E8" i="133" l="1"/>
  <c r="F8" i="133"/>
  <c r="K20" i="133"/>
  <c r="K21" i="133"/>
  <c r="K22" i="133"/>
  <c r="K23" i="133"/>
  <c r="K24" i="133"/>
  <c r="K18" i="133"/>
  <c r="K19" i="133"/>
  <c r="K16" i="133"/>
  <c r="K15" i="133"/>
  <c r="I25" i="133"/>
  <c r="J13" i="133" l="1"/>
  <c r="K6" i="133"/>
  <c r="K5" i="133"/>
  <c r="J25" i="133"/>
  <c r="D8" i="133"/>
  <c r="K8" i="133" l="1"/>
  <c r="D13" i="133"/>
  <c r="D25" i="133"/>
  <c r="E25" i="133"/>
  <c r="E13" i="133"/>
  <c r="K13" i="133"/>
  <c r="K17" i="133" l="1"/>
  <c r="K25" i="1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<sst xmlns="http://schemas.openxmlformats.org/spreadsheetml/2006/main" count="848" uniqueCount="451">
  <si>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</si>
  <si>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</si>
  <si>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</si>
  <si>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</si>
  <si>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</si>
  <si>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</si>
  <si>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</si>
  <si>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</si>
  <si>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</si>
  <si>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</si>
  <si>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</si>
  <si>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</si>
  <si>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</si>
  <si>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</si>
  <si>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</si>
  <si>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</si>
  <si>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</si>
  <si>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</si>
  <si>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</si>
  <si>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</si>
  <si>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</si>
  <si>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</si>
  <si>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</si>
  <si>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</si>
  <si>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</si>
  <si>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</si>
  <si>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</si>
  <si>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</si>
  <si>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</si>
  <si>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</si>
  <si>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</si>
  <si>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</si>
  <si>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</si>
  <si>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</si>
  <si>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</si>
  <si>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</si>
  <si>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</si>
  <si>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</si>
  <si>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</si>
  <si>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</si>
  <si>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</si>
  <si>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</si>
  <si>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</si>
  <si>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</si>
  <si>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</si>
  <si>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</si>
  <si>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</si>
  <si>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</si>
  <si>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</si>
  <si>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</si>
  <si>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</si>
  <si>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</si>
  <si>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</si>
  <si>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</si>
  <si>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</si>
  <si>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</si>
  <si>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</si>
  <si>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</si>
  <si>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</si>
  <si>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</si>
  <si>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</si>
  <si>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</si>
  <si>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</si>
  <si>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</si>
  <si>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</si>
  <si>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</si>
  <si>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</si>
  <si>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</si>
  <si>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</si>
  <si>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</si>
  <si>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</si>
  <si>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</si>
  <si>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</si>
  <si>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</si>
  <si>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</si>
  <si>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</si>
  <si>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</si>
  <si>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</si>
  <si>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</si>
  <si>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</si>
  <si>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</si>
  <si>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</si>
  <si>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</si>
  <si>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</si>
  <si>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</si>
  <si>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</si>
  <si>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</si>
  <si>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</si>
  <si>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</si>
  <si>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</si>
  <si>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</si>
  <si>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</si>
  <si>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</si>
  <si>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</si>
  <si>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</si>
  <si>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</si>
  <si>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</si>
  <si>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</si>
  <si>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</si>
  <si>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</si>
  <si>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</si>
  <si>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</si>
  <si>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</si>
  <si>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</si>
  <si>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</si>
  <si>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</si>
  <si>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</si>
  <si>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</si>
  <si>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</si>
  <si>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</si>
  <si>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</si>
  <si>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</si>
  <si>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</si>
  <si>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</si>
  <si>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</si>
  <si>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</si>
  <si>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</si>
  <si>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</si>
  <si>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</si>
  <si>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</si>
  <si>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</si>
  <si>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</si>
  <si>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</si>
  <si>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</si>
  <si>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</si>
  <si>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</si>
  <si>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</si>
  <si>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</si>
  <si>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</si>
  <si>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</si>
  <si>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</si>
  <si>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</si>
  <si>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</si>
  <si>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</si>
  <si>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</si>
  <si>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</si>
  <si>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</si>
  <si>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</si>
  <si>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</si>
  <si>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</si>
  <si>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</si>
  <si>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</si>
  <si>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</si>
  <si>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</si>
  <si>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</si>
  <si>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</si>
  <si>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</si>
  <si>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</si>
  <si>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</si>
  <si>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</si>
  <si>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</si>
  <si>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</si>
  <si>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</si>
  <si>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</si>
  <si>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</si>
  <si>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</si>
  <si>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</si>
  <si>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</si>
  <si>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</si>
  <si>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</si>
  <si>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</si>
  <si>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</si>
  <si>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</si>
  <si>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</si>
  <si>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</si>
  <si>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</si>
  <si>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</si>
  <si>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</si>
  <si>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</si>
  <si>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</si>
  <si>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</si>
  <si>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</si>
  <si>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</si>
  <si>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</si>
  <si>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</si>
  <si>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</si>
  <si>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</si>
  <si>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</si>
  <si>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</si>
  <si>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</si>
  <si>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</si>
  <si>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</si>
  <si>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</si>
  <si>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</si>
  <si>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</si>
  <si>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</si>
  <si>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</si>
  <si>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</si>
  <si>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</si>
  <si>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</si>
  <si>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</si>
  <si>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</si>
  <si>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</si>
  <si>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</si>
  <si>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</si>
  <si>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</si>
  <si>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</si>
  <si>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</si>
  <si>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</si>
  <si>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</si>
  <si>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</si>
  <si>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</si>
  <si>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</si>
  <si>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</si>
  <si>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</si>
  <si>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</si>
  <si>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</si>
  <si>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</si>
  <si>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</si>
  <si>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</si>
  <si>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</si>
  <si>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</si>
  <si>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</si>
  <si>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</si>
  <si>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</si>
  <si>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</si>
  <si>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</si>
  <si>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</si>
  <si>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</si>
  <si>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</si>
  <si>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</si>
  <si>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</si>
  <si>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</si>
  <si>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</si>
  <si>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</si>
  <si>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</si>
  <si>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</si>
  <si>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</si>
  <si>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</si>
  <si>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</si>
  <si>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</si>
  <si>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</si>
  <si>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</si>
  <si>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</si>
  <si>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</si>
  <si>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</si>
  <si>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</si>
  <si>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</si>
  <si>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</si>
  <si>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</si>
  <si>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</si>
  <si>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</si>
  <si>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</si>
  <si>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</si>
  <si>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</si>
  <si>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</si>
  <si>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</si>
  <si>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</si>
  <si>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</si>
  <si>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</si>
  <si>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</si>
  <si>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</si>
  <si>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</si>
  <si>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</si>
  <si>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</si>
  <si>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</si>
  <si>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</si>
  <si>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</si>
  <si>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</si>
  <si>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</si>
  <si>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</si>
  <si>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</si>
  <si>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</si>
  <si>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</si>
  <si>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</si>
  <si>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</si>
  <si>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</si>
  <si>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</si>
  <si>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</si>
  <si>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</si>
  <si>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</si>
  <si>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</si>
  <si>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</si>
  <si>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</si>
  <si>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</si>
  <si>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</si>
  <si>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</si>
  <si>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</si>
  <si>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</si>
  <si>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</si>
  <si>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</si>
  <si>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</si>
  <si>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</si>
  <si>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</si>
  <si>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</si>
  <si>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</si>
  <si>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</si>
  <si>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</si>
  <si>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</si>
  <si>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</si>
  <si>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</si>
  <si>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</si>
  <si>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</si>
  <si>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</si>
  <si>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</si>
  <si>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</si>
  <si>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</si>
  <si>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</si>
  <si>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</si>
  <si>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</si>
  <si>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</si>
  <si>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</si>
  <si>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</si>
  <si>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</si>
  <si>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</si>
  <si>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</si>
  <si>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</si>
  <si>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</si>
  <si>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</si>
  <si>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</si>
  <si>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</si>
  <si>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</si>
  <si>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</si>
  <si>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</si>
  <si>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</si>
  <si>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</si>
  <si>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</si>
  <si>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</si>
  <si>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</si>
  <si>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</si>
  <si>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</si>
  <si>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</si>
  <si>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</si>
  <si>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</si>
  <si>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</si>
  <si>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</si>
  <si>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</si>
  <si>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</si>
  <si>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</si>
  <si>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</si>
  <si>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</si>
  <si>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</si>
  <si>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</si>
  <si>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</si>
  <si>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</si>
  <si>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</si>
  <si>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</si>
  <si>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</si>
  <si>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</si>
  <si>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</si>
  <si>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</si>
  <si>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</si>
  <si>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</si>
  <si>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</si>
  <si>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</si>
  <si>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</si>
  <si>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</si>
  <si>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</si>
  <si>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</si>
  <si>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</si>
  <si>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</si>
  <si>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</si>
  <si>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</si>
  <si>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</si>
  <si>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</si>
  <si>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</si>
  <si>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</si>
  <si>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</si>
  <si>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</si>
  <si>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</si>
  <si>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</si>
  <si>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</si>
  <si>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</si>
  <si>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</si>
  <si>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</si>
  <si>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</si>
  <si>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</si>
  <si>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</si>
  <si>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</si>
  <si>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</si>
  <si>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</si>
  <si>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</si>
  <si>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</si>
  <si>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</si>
  <si>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</si>
  <si>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</si>
  <si>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</si>
  <si>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</si>
  <si>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</si>
  <si>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</si>
  <si>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</si>
  <si>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</si>
  <si>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</si>
  <si>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</si>
  <si>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</si>
  <si>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</si>
  <si>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</si>
  <si>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</si>
  <si>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</si>
  <si>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</si>
  <si>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</si>
  <si>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</si>
  <si>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</si>
  <si>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</si>
  <si>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</si>
  <si>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</si>
  <si>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</si>
  <si>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</si>
  <si>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</si>
  <si>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</si>
  <si>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</si>
  <si>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</si>
  <si>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</si>
  <si>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</si>
  <si>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</si>
  <si>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</si>
  <si>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</si>
  <si>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</si>
  <si>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</si>
  <si>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</si>
  <si>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</si>
  <si>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</si>
  <si>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</si>
  <si>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</si>
  <si>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</si>
  <si>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</si>
  <si>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</si>
  <si>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</si>
  <si>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</si>
  <si>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</si>
  <si>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</si>
  <si>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</si>
  <si>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</si>
  <si>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</si>
  <si>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</si>
  <si>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</si>
  <si>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</si>
  <si>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</si>
  <si>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</si>
  <si>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</si>
  <si>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</si>
  <si>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</si>
  <si>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</si>
  <si>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</si>
  <si>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</si>
  <si>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</si>
  <si>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</si>
  <si>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</si>
  <si>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</si>
  <si>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</si>
  <si>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</si>
  <si>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</si>
  <si>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</si>
  <si>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</si>
  <si>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</si>
  <si>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</si>
  <si>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</si>
  <si>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</si>
  <si>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</si>
  <si>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</si>
  <si>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Share-I~UP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</si>
</sst>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11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259</v>
      </c>
      <c r="B1" s="173"/>
      <c r="C1" s="173"/>
      <c r="D1" s="173"/>
      <c r="V1" s="178" t="s">
        <v>260</v>
      </c>
    </row>
    <row r="2" spans="1:32" ht="15.75" thickBot="1" x14ac:dyDescent="0.3">
      <c r="A2" s="280" t="s">
        <v>142</v>
      </c>
      <c r="B2" s="281"/>
      <c r="C2" s="281"/>
      <c r="D2" s="281"/>
      <c r="E2" s="282"/>
      <c r="F2" s="280" t="s">
        <v>261</v>
      </c>
      <c r="G2" s="281"/>
      <c r="H2" s="281"/>
      <c r="I2" s="282"/>
      <c r="J2" s="286" t="s">
        <v>262</v>
      </c>
      <c r="K2" s="287"/>
      <c r="L2" s="287"/>
      <c r="M2" s="288"/>
      <c r="N2" s="280" t="s">
        <v>263</v>
      </c>
      <c r="O2" s="281"/>
      <c r="P2" s="281"/>
      <c r="Q2" s="281"/>
      <c r="R2" s="282"/>
      <c r="V2" s="179" t="s">
        <v>142</v>
      </c>
      <c r="W2" s="277" t="s">
        <v>264</v>
      </c>
      <c r="X2" s="278"/>
      <c r="Y2" s="278"/>
      <c r="Z2" s="278"/>
      <c r="AA2" s="279"/>
      <c r="AB2" s="277" t="s">
        <v>265</v>
      </c>
      <c r="AC2" s="278"/>
      <c r="AD2" s="278"/>
      <c r="AE2" s="278"/>
      <c r="AF2" s="279"/>
    </row>
    <row r="3" spans="1:32" ht="24.6" customHeight="1" thickBot="1" x14ac:dyDescent="0.3">
      <c r="A3" s="280" t="s">
        <v>266</v>
      </c>
      <c r="B3" s="281"/>
      <c r="C3" s="281"/>
      <c r="D3" s="281"/>
      <c r="E3" s="282"/>
      <c r="F3" s="180">
        <v>5</v>
      </c>
      <c r="G3" s="180" t="s">
        <v>267</v>
      </c>
      <c r="H3" s="180" t="s">
        <v>268</v>
      </c>
      <c r="I3" s="181">
        <v>10</v>
      </c>
      <c r="J3" s="182">
        <v>5</v>
      </c>
      <c r="K3" s="180" t="s">
        <v>267</v>
      </c>
      <c r="L3" s="183" t="s">
        <v>268</v>
      </c>
      <c r="M3" s="182">
        <v>10</v>
      </c>
      <c r="N3" s="180">
        <v>5</v>
      </c>
      <c r="O3" s="181" t="s">
        <v>267</v>
      </c>
      <c r="P3" s="182" t="s">
        <v>268</v>
      </c>
      <c r="Q3" s="182"/>
      <c r="R3" s="180">
        <v>10</v>
      </c>
      <c r="V3" s="184" t="s">
        <v>269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3" t="s">
        <v>270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4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271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4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4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272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4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4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273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4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5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3" t="s">
        <v>274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4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4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4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4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4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4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5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275</v>
      </c>
      <c r="C23" s="196"/>
      <c r="D23" s="196"/>
      <c r="E23" s="196" t="s">
        <v>276</v>
      </c>
      <c r="F23" s="196"/>
      <c r="G23" s="174" t="s">
        <v>277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278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198" customFormat="1" x14ac:dyDescent="0.25">
      <c r="A26" s="198" t="s">
        <v>281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282</v>
      </c>
    </row>
    <row r="27" spans="1:24" x14ac:dyDescent="0.25">
      <c r="A27" s="174" t="s">
        <v>283</v>
      </c>
      <c r="E27" s="174">
        <f>(E50+E52+E51)*0.2777778</f>
        <v>19062.637636122003</v>
      </c>
    </row>
    <row r="28" spans="1:24" s="200" customFormat="1" x14ac:dyDescent="0.25">
      <c r="A28" s="200" t="s">
        <v>284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285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286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287</v>
      </c>
      <c r="E31" s="202"/>
      <c r="O31" s="203">
        <f>(O26-E26)/E26</f>
        <v>-1</v>
      </c>
    </row>
    <row r="32" spans="1:24" s="204" customFormat="1" x14ac:dyDescent="0.25">
      <c r="A32" s="204" t="s">
        <v>288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289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290</v>
      </c>
    </row>
    <row r="39" spans="1:20" s="206" customFormat="1" x14ac:dyDescent="0.25">
      <c r="A39" s="206" t="s">
        <v>291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292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293</v>
      </c>
    </row>
    <row r="41" spans="1:20" s="206" customFormat="1" x14ac:dyDescent="0.25">
      <c r="A41" s="206" t="s">
        <v>294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295</v>
      </c>
    </row>
    <row r="42" spans="1:20" s="206" customFormat="1" x14ac:dyDescent="0.25">
      <c r="A42" s="206" t="s">
        <v>296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297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298</v>
      </c>
      <c r="E45" s="212">
        <f>E39/(E38+E39)</f>
        <v>0.78227062033730832</v>
      </c>
    </row>
    <row r="46" spans="1:20" x14ac:dyDescent="0.25">
      <c r="A46" s="174" t="s">
        <v>299</v>
      </c>
      <c r="E46" s="202">
        <f>E38/(E38+E39)</f>
        <v>0.21772937966269174</v>
      </c>
    </row>
    <row r="47" spans="1:20" x14ac:dyDescent="0.25">
      <c r="A47" s="206" t="s">
        <v>300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301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302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303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304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305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306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307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308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309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310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311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312</v>
      </c>
      <c r="G63" s="174" t="s">
        <v>313</v>
      </c>
      <c r="J63" s="218" t="s">
        <v>314</v>
      </c>
      <c r="O63" s="219"/>
      <c r="P63" s="219" t="s">
        <v>315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316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317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318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319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320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321</v>
      </c>
    </row>
    <row r="69" spans="1:25" s="227" customFormat="1" x14ac:dyDescent="0.25">
      <c r="A69" s="227" t="s">
        <v>322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323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324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325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326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327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328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329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330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331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332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333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334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335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336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337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338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339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340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341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342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343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344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345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346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347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348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349</v>
      </c>
    </row>
    <row r="109" spans="1:19" x14ac:dyDescent="0.25">
      <c r="A109" s="174" t="s">
        <v>350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351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305</v>
      </c>
      <c r="K1" s="245" t="s">
        <v>320</v>
      </c>
      <c r="L1" s="245" t="s">
        <v>322</v>
      </c>
      <c r="M1" s="245" t="s">
        <v>323</v>
      </c>
      <c r="N1" s="245" t="s">
        <v>324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305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320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322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323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324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352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353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91" t="s">
        <v>355</v>
      </c>
      <c r="D1" s="291"/>
      <c r="E1" s="291"/>
      <c r="F1" s="291"/>
      <c r="G1" s="291" t="s">
        <v>356</v>
      </c>
      <c r="H1" s="291"/>
      <c r="I1" s="291"/>
      <c r="J1" s="291"/>
      <c r="K1" s="291" t="s">
        <v>357</v>
      </c>
      <c r="L1" s="291"/>
      <c r="M1" s="291" t="s">
        <v>358</v>
      </c>
      <c r="N1" s="291"/>
      <c r="O1" s="291" t="s">
        <v>359</v>
      </c>
      <c r="P1" s="291"/>
      <c r="Q1" s="291"/>
      <c r="R1" s="291" t="s">
        <v>359</v>
      </c>
      <c r="S1" s="291"/>
      <c r="T1" s="291"/>
      <c r="U1" s="291" t="s">
        <v>359</v>
      </c>
      <c r="V1" s="291"/>
      <c r="W1" s="291"/>
      <c r="X1" s="20" t="s">
        <v>360</v>
      </c>
      <c r="Y1" s="291" t="s">
        <v>361</v>
      </c>
      <c r="Z1" s="291"/>
      <c r="AA1" s="291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91" t="s">
        <v>363</v>
      </c>
      <c r="P2" s="291"/>
      <c r="Q2" s="291"/>
      <c r="R2" s="291" t="s">
        <v>366</v>
      </c>
      <c r="S2" s="291"/>
      <c r="T2" s="291"/>
      <c r="U2" s="291" t="s">
        <v>365</v>
      </c>
      <c r="V2" s="291"/>
      <c r="W2" s="291"/>
      <c r="X2" s="20" t="s">
        <v>112</v>
      </c>
      <c r="Y2" s="291" t="s">
        <v>367</v>
      </c>
      <c r="Z2" s="291"/>
      <c r="AA2" s="291"/>
    </row>
    <row r="3" spans="1:27" s="20" customFormat="1" x14ac:dyDescent="0.2">
      <c r="A3" s="20" t="s">
        <v>362</v>
      </c>
      <c r="O3" s="248" t="s">
        <v>368</v>
      </c>
      <c r="P3" s="248" t="s">
        <v>369</v>
      </c>
      <c r="Q3" s="248" t="s">
        <v>370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0" t="s">
        <v>375</v>
      </c>
      <c r="H7" s="250">
        <v>2.1000000000000001E-2</v>
      </c>
      <c r="I7" s="250"/>
      <c r="J7" t="s">
        <v>373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362</v>
      </c>
      <c r="B8" s="250" t="s">
        <v>376</v>
      </c>
      <c r="H8" s="250">
        <v>7.9000000000000001E-2</v>
      </c>
      <c r="I8" s="250"/>
      <c r="J8" t="s">
        <v>373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362</v>
      </c>
      <c r="B9" s="155" t="s">
        <v>171</v>
      </c>
      <c r="H9" s="250">
        <v>0.11899999999999999</v>
      </c>
      <c r="I9" s="250"/>
      <c r="J9" t="s">
        <v>373</v>
      </c>
    </row>
    <row r="10" spans="1:27" x14ac:dyDescent="0.2">
      <c r="A10" s="20" t="s">
        <v>362</v>
      </c>
      <c r="B10" s="155" t="s">
        <v>377</v>
      </c>
      <c r="I10">
        <v>0.1</v>
      </c>
    </row>
    <row r="11" spans="1:27" x14ac:dyDescent="0.2">
      <c r="A11" s="20" t="s">
        <v>362</v>
      </c>
      <c r="B11" s="155" t="s">
        <v>378</v>
      </c>
      <c r="I11">
        <v>0.33</v>
      </c>
    </row>
    <row r="12" spans="1:27" ht="15.75" x14ac:dyDescent="0.25">
      <c r="A12" s="20" t="s">
        <v>362</v>
      </c>
      <c r="B12" s="155" t="s">
        <v>379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5" t="s">
        <v>380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5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9" t="str">
        <f t="shared" si="1"/>
        <v>Installation Cost per kW</v>
      </c>
      <c r="D17" s="289"/>
      <c r="E17" s="289"/>
      <c r="F17" s="289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1"/>
      <c r="D18" s="251"/>
      <c r="E18" s="251" t="s">
        <v>390</v>
      </c>
      <c r="F18" s="251"/>
      <c r="G18" t="s">
        <v>390</v>
      </c>
      <c r="H18" t="s">
        <v>390</v>
      </c>
      <c r="I18" s="251" t="s">
        <v>391</v>
      </c>
      <c r="J18" s="251" t="s">
        <v>391</v>
      </c>
      <c r="K18" s="251" t="s">
        <v>391</v>
      </c>
      <c r="L18" s="251"/>
      <c r="M18" s="251" t="s">
        <v>112</v>
      </c>
      <c r="N18" s="251" t="s">
        <v>392</v>
      </c>
      <c r="O18" s="251" t="s">
        <v>392</v>
      </c>
      <c r="P18" s="251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5" t="s">
        <v>416</v>
      </c>
      <c r="B42" s="155" t="s">
        <v>417</v>
      </c>
      <c r="C42" s="290" t="s">
        <v>417</v>
      </c>
      <c r="D42" s="290"/>
      <c r="E42" s="290"/>
    </row>
    <row r="43" spans="1:6" x14ac:dyDescent="0.2">
      <c r="A43" s="155"/>
      <c r="B43" s="155" t="s">
        <v>368</v>
      </c>
      <c r="C43" s="155" t="s">
        <v>368</v>
      </c>
      <c r="D43" s="155" t="s">
        <v>369</v>
      </c>
      <c r="E43" s="155" t="s">
        <v>353</v>
      </c>
      <c r="F43" s="155" t="s">
        <v>418</v>
      </c>
    </row>
    <row r="44" spans="1:6" x14ac:dyDescent="0.2">
      <c r="A44" s="155" t="s">
        <v>419</v>
      </c>
      <c r="B44" s="155" t="s">
        <v>420</v>
      </c>
      <c r="E44">
        <v>0.35</v>
      </c>
    </row>
    <row r="45" spans="1:6" s="156" customFormat="1" x14ac:dyDescent="0.2">
      <c r="A45" s="156" t="s">
        <v>421</v>
      </c>
      <c r="B45" s="156" t="s">
        <v>422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421</v>
      </c>
      <c r="B46" s="156" t="s">
        <v>423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424</v>
      </c>
      <c r="B47" s="155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5" t="s">
        <v>425</v>
      </c>
      <c r="C48">
        <v>0.8</v>
      </c>
      <c r="D48">
        <v>0.81</v>
      </c>
    </row>
    <row r="49" spans="1:6" x14ac:dyDescent="0.2">
      <c r="A49" s="252" t="s">
        <v>427</v>
      </c>
      <c r="B49" s="155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427</v>
      </c>
      <c r="B50" s="155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430</v>
      </c>
      <c r="B51" s="155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5" t="s">
        <v>433</v>
      </c>
      <c r="E52">
        <v>0.51039999999999996</v>
      </c>
    </row>
    <row r="53" spans="1:6" x14ac:dyDescent="0.2">
      <c r="A53" s="252" t="s">
        <v>434</v>
      </c>
      <c r="B53" s="155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3" zoomScale="122" zoomScaleNormal="122" workbookViewId="0">
      <selection activeCell="H35" sqref="H35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3" t="s">
        <v>443</v>
      </c>
      <c r="K51" s="116" t="s">
        <v>313</v>
      </c>
    </row>
    <row r="52" spans="2:12" x14ac:dyDescent="0.2">
      <c r="C52" t="s">
        <v>437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438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3" si="3">G53/E53</f>
        <v>1.372765656211179</v>
      </c>
      <c r="J53" s="253">
        <f t="shared" ref="J53:J63" si="4">1/(G$51-E$51)</f>
        <v>0.5</v>
      </c>
      <c r="K53" s="263">
        <f t="shared" ref="K53:K63" si="5">(I53^J53)-1</f>
        <v>0.17165082520825248</v>
      </c>
      <c r="L53" s="113">
        <f t="shared" ref="L53:L63" si="6">(I53-1)/(G$51-E$51)</f>
        <v>0.18638282810558948</v>
      </c>
    </row>
    <row r="54" spans="2:12" s="257" customFormat="1" ht="15" x14ac:dyDescent="0.25">
      <c r="C54" s="257" t="s">
        <v>439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442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297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447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441</v>
      </c>
      <c r="I58" s="253"/>
      <c r="J58" s="253"/>
      <c r="K58" s="263"/>
      <c r="L58" s="113"/>
    </row>
    <row r="59" spans="2:12" x14ac:dyDescent="0.2">
      <c r="C59" t="s">
        <v>440</v>
      </c>
      <c r="I59" s="253"/>
      <c r="J59" s="253"/>
      <c r="K59" s="263"/>
      <c r="L59" s="113"/>
    </row>
    <row r="60" spans="2:12" x14ac:dyDescent="0.2">
      <c r="C60" t="s">
        <v>448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0">
        <f>D57*$B$62</f>
        <v>3839.5414444444446</v>
      </c>
      <c r="E62" s="260">
        <f t="shared" ref="E62:H62" si="10">E57*$B$62</f>
        <v>3533.7243333333336</v>
      </c>
      <c r="F62" s="260">
        <f t="shared" si="10"/>
        <v>4065.0466388888894</v>
      </c>
      <c r="G62" s="260">
        <f t="shared" si="10"/>
        <v>5654.6496111111119</v>
      </c>
      <c r="H62" s="260">
        <f t="shared" si="10"/>
        <v>6018.6573333333336</v>
      </c>
      <c r="I62" s="253">
        <f t="shared" si="3"/>
        <v>1.6001954532138409</v>
      </c>
      <c r="J62" s="253">
        <f t="shared" si="4"/>
        <v>0.5</v>
      </c>
      <c r="K62" s="263">
        <f t="shared" si="5"/>
        <v>0.26498832137448636</v>
      </c>
      <c r="L62" s="113">
        <f t="shared" si="6"/>
        <v>0.30009772660692047</v>
      </c>
    </row>
    <row r="63" spans="2:12" x14ac:dyDescent="0.2">
      <c r="B63">
        <v>1</v>
      </c>
      <c r="C63" t="s">
        <v>442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 t="shared" si="3"/>
        <v>1.1774614468001567</v>
      </c>
      <c r="J63" s="253">
        <f t="shared" si="4"/>
        <v>0.5</v>
      </c>
      <c r="K63" s="263">
        <f t="shared" si="5"/>
        <v>8.5108956188343576E-2</v>
      </c>
      <c r="L63" s="113">
        <f t="shared" si="6"/>
        <v>8.8730723400078371E-2</v>
      </c>
    </row>
    <row r="64" spans="2:12" x14ac:dyDescent="0.2">
      <c r="I64" s="253"/>
      <c r="J64" s="253"/>
      <c r="K64" s="113"/>
      <c r="L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topLeftCell="A9" zoomScale="96" zoomScaleNormal="96" workbookViewId="0">
      <selection activeCell="H26" sqref="H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247</v>
      </c>
      <c r="D4" s="1" t="s">
        <v>245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O5</f>
        <v>MANCOALMIN</v>
      </c>
      <c r="E23" s="1">
        <v>2022</v>
      </c>
      <c r="F23" s="155"/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O6</f>
        <v>MANCOALIMP</v>
      </c>
      <c r="E24" s="1">
        <v>2022</v>
      </c>
      <c r="F24" s="155"/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O7</f>
        <v>MANOILIMP</v>
      </c>
      <c r="E25" s="1">
        <v>2022</v>
      </c>
      <c r="F25" s="155"/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/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248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opLeftCell="A2" zoomScale="118" zoomScaleNormal="118" workbookViewId="0">
      <selection activeCell="T18" sqref="T18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9" width="8.140625" style="91" customWidth="1"/>
    <col min="10" max="10" width="9.5703125" style="91" bestFit="1" customWidth="1"/>
    <col min="11" max="13" width="8.140625" style="91" customWidth="1"/>
    <col min="14" max="14" width="12.7109375" style="91" bestFit="1" customWidth="1"/>
    <col min="15" max="15" width="7.140625" style="91" customWidth="1"/>
    <col min="16" max="16" width="11.4257812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93" t="s">
        <v>172</v>
      </c>
      <c r="Q5" s="93" t="s">
        <v>173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249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93"/>
      <c r="O8" s="93"/>
      <c r="P8" s="93"/>
      <c r="Q8" s="93"/>
      <c r="R8" s="93"/>
      <c r="S8" s="93"/>
      <c r="T8" s="93"/>
      <c r="U8" s="93"/>
      <c r="V8" s="93"/>
    </row>
    <row r="9" spans="2:22" x14ac:dyDescent="0.2">
      <c r="N9" s="93"/>
      <c r="O9" s="93"/>
      <c r="P9" s="93"/>
      <c r="Q9" s="93"/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450</v>
      </c>
      <c r="G13" s="98" t="s">
        <v>106</v>
      </c>
      <c r="H13" s="98" t="s">
        <v>107</v>
      </c>
      <c r="I13" s="98" t="s">
        <v>108</v>
      </c>
      <c r="J13" s="98" t="s">
        <v>174</v>
      </c>
      <c r="K13" s="100" t="s">
        <v>175</v>
      </c>
      <c r="L13" s="268"/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23.2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176</v>
      </c>
      <c r="K14" s="102" t="s">
        <v>177</v>
      </c>
      <c r="L14" s="269"/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240</v>
      </c>
      <c r="F15" s="104"/>
      <c r="G15" s="104" t="s">
        <v>391</v>
      </c>
      <c r="H15" s="105" t="s">
        <v>391</v>
      </c>
      <c r="I15" s="104" t="s">
        <v>112</v>
      </c>
      <c r="J15" s="104"/>
      <c r="K15" s="105"/>
      <c r="L15" s="270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P$5</f>
        <v>MANHEAT</v>
      </c>
      <c r="E16" s="109">
        <f>PRI_Sector_Fuels!I23*DemTechs_INDF!G16/(1000)</f>
        <v>2.4851201988096006</v>
      </c>
      <c r="F16" s="106">
        <v>0.59</v>
      </c>
      <c r="G16" s="107">
        <v>0.55000000000000004</v>
      </c>
      <c r="H16" s="107">
        <v>1</v>
      </c>
      <c r="I16" s="132">
        <v>30</v>
      </c>
      <c r="J16" s="108">
        <v>0</v>
      </c>
      <c r="K16" s="108"/>
      <c r="L16" s="114"/>
      <c r="M16" s="114"/>
      <c r="N16" s="91" t="s">
        <v>113</v>
      </c>
      <c r="P16" s="91" t="s">
        <v>153</v>
      </c>
      <c r="Q16" s="91" t="s">
        <v>241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 t="shared" ref="D17:D18" si="0">P$5</f>
        <v>MANHEAT</v>
      </c>
      <c r="E17" s="109">
        <f>PRI_Sector_Fuels!I24*DemTechs_INDF!G17/(1000)</f>
        <v>1.7367139028259904</v>
      </c>
      <c r="F17" s="106">
        <v>0.41</v>
      </c>
      <c r="G17" s="107">
        <v>0.55000000000000004</v>
      </c>
      <c r="H17" s="107">
        <v>1</v>
      </c>
      <c r="I17" s="132">
        <v>30</v>
      </c>
      <c r="J17" s="108">
        <v>0</v>
      </c>
      <c r="K17" s="108"/>
      <c r="L17" s="114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si="0"/>
        <v>MANHEAT</v>
      </c>
      <c r="E18" s="109">
        <f>PRI_Sector_Fuels!I25*DemTechs_INDF!G18/(1000)</f>
        <v>2.0840961667276803</v>
      </c>
      <c r="F18" s="106">
        <v>1</v>
      </c>
      <c r="G18" s="107">
        <v>0.8</v>
      </c>
      <c r="H18" s="109">
        <v>1</v>
      </c>
      <c r="I18" s="108">
        <v>30</v>
      </c>
      <c r="J18" s="108">
        <v>0</v>
      </c>
      <c r="K18" s="108"/>
      <c r="L18" s="114"/>
      <c r="M18" s="114"/>
      <c r="N18" s="91" t="s">
        <v>113</v>
      </c>
      <c r="P18" s="163" t="s">
        <v>167</v>
      </c>
      <c r="Q18" s="91" t="s">
        <v>246</v>
      </c>
      <c r="R18" s="91" t="s">
        <v>162</v>
      </c>
      <c r="S18" s="91" t="s">
        <v>154</v>
      </c>
      <c r="T18" s="171" t="s">
        <v>253</v>
      </c>
    </row>
    <row r="19" spans="2:22" s="159" customFormat="1" x14ac:dyDescent="0.2">
      <c r="B19" s="97" t="s">
        <v>167</v>
      </c>
      <c r="C19" s="97" t="str">
        <f>PRI_Sector_Fuels!O8</f>
        <v>ELC</v>
      </c>
      <c r="D19" s="93" t="str">
        <f>P6</f>
        <v>MANELC</v>
      </c>
      <c r="E19" s="109">
        <f>PRI_Sector_Fuels!I26*DemTechs_INDF!G19/(1000)</f>
        <v>2.8615612011470999</v>
      </c>
      <c r="F19" s="162">
        <v>1</v>
      </c>
      <c r="G19" s="159">
        <v>1</v>
      </c>
      <c r="H19" s="159">
        <v>1</v>
      </c>
      <c r="I19" s="159">
        <v>50</v>
      </c>
      <c r="J19" s="159">
        <v>0</v>
      </c>
      <c r="R19" s="97"/>
      <c r="S19" s="97"/>
      <c r="T19" s="172"/>
    </row>
    <row r="20" spans="2:22" s="159" customFormat="1" x14ac:dyDescent="0.2">
      <c r="B20" s="97"/>
      <c r="C20" s="97"/>
      <c r="D20" s="93"/>
      <c r="E20" s="161"/>
      <c r="F20" s="162"/>
      <c r="R20" s="97"/>
      <c r="S20" s="97"/>
    </row>
    <row r="21" spans="2:22" s="159" customFormat="1" x14ac:dyDescent="0.2">
      <c r="B21" s="97"/>
      <c r="C21" s="97"/>
      <c r="D21" s="93"/>
      <c r="E21" s="161"/>
      <c r="F21" s="162"/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237</v>
      </c>
      <c r="F33" s="91" t="s">
        <v>239</v>
      </c>
      <c r="H33" s="111"/>
    </row>
    <row r="35" spans="5:8" x14ac:dyDescent="0.2">
      <c r="E35" s="91" t="s">
        <v>238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S59"/>
  <sheetViews>
    <sheetView topLeftCell="B7" zoomScale="226" zoomScaleNormal="226" workbookViewId="0">
      <selection activeCell="H15" sqref="H15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4" max="14" width="10.5703125" bestFit="1" customWidth="1"/>
    <col min="17" max="17" width="12.42578125" bestFit="1" customWidth="1"/>
    <col min="18" max="18" width="10.28515625" bestFit="1" customWidth="1"/>
  </cols>
  <sheetData>
    <row r="1" spans="2:19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/>
      <c r="G1" s="6" t="s">
        <v>79</v>
      </c>
    </row>
    <row r="2" spans="2:19" ht="15.75" x14ac:dyDescent="0.25">
      <c r="B2" s="7" t="s">
        <v>82</v>
      </c>
      <c r="C2" s="7"/>
      <c r="D2" s="7"/>
      <c r="E2" s="7" t="str">
        <f>EBF!Q2</f>
        <v>GWh</v>
      </c>
      <c r="F2" s="7"/>
      <c r="G2" s="7" t="str">
        <f>EBF!P2</f>
        <v>TH$2022</v>
      </c>
    </row>
    <row r="3" spans="2:19" x14ac:dyDescent="0.2">
      <c r="L3" s="149"/>
    </row>
    <row r="5" spans="2:19" x14ac:dyDescent="0.2">
      <c r="C5" s="119" t="s">
        <v>13</v>
      </c>
      <c r="D5" s="119"/>
      <c r="E5" s="1"/>
      <c r="F5" s="1"/>
    </row>
    <row r="6" spans="2:19" x14ac:dyDescent="0.2">
      <c r="B6" s="118" t="s">
        <v>178</v>
      </c>
      <c r="C6" s="118" t="s">
        <v>0</v>
      </c>
      <c r="D6" s="118" t="s">
        <v>179</v>
      </c>
      <c r="E6" s="118">
        <v>2022</v>
      </c>
      <c r="F6" s="118"/>
      <c r="G6" s="118">
        <v>2025</v>
      </c>
      <c r="H6" s="118">
        <v>2030</v>
      </c>
      <c r="I6" s="118">
        <v>2035</v>
      </c>
      <c r="J6" s="118">
        <v>2040</v>
      </c>
      <c r="K6" s="118">
        <v>2045</v>
      </c>
      <c r="L6" s="118">
        <v>2050</v>
      </c>
      <c r="M6" s="147"/>
      <c r="N6" s="150"/>
      <c r="O6" s="125"/>
      <c r="R6" s="119" t="s">
        <v>13</v>
      </c>
      <c r="S6" s="1"/>
    </row>
    <row r="7" spans="2:19" ht="33.75" x14ac:dyDescent="0.2">
      <c r="B7" s="121" t="s">
        <v>81</v>
      </c>
      <c r="C7" s="121" t="s">
        <v>180</v>
      </c>
      <c r="D7" s="121" t="s">
        <v>181</v>
      </c>
      <c r="E7" s="121" t="s">
        <v>182</v>
      </c>
      <c r="F7" s="121"/>
      <c r="G7" s="121" t="s">
        <v>182</v>
      </c>
      <c r="H7" s="121" t="s">
        <v>182</v>
      </c>
      <c r="I7" s="121" t="s">
        <v>182</v>
      </c>
      <c r="J7" s="121" t="s">
        <v>182</v>
      </c>
      <c r="K7" s="121" t="s">
        <v>182</v>
      </c>
      <c r="L7" s="121" t="s">
        <v>182</v>
      </c>
      <c r="M7" s="148"/>
      <c r="N7" s="150" t="s">
        <v>252</v>
      </c>
      <c r="O7" s="126"/>
      <c r="P7" s="118" t="s">
        <v>178</v>
      </c>
      <c r="Q7" s="118" t="s">
        <v>0</v>
      </c>
      <c r="R7" s="118" t="s">
        <v>184</v>
      </c>
      <c r="S7" s="118">
        <v>2022</v>
      </c>
    </row>
    <row r="8" spans="2:19" ht="34.5" thickBot="1" x14ac:dyDescent="0.25">
      <c r="B8" s="120" t="s">
        <v>87</v>
      </c>
      <c r="C8" s="120"/>
      <c r="D8" s="120"/>
      <c r="E8" s="120" t="s">
        <v>162</v>
      </c>
      <c r="F8" s="120"/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20" t="s">
        <v>162</v>
      </c>
      <c r="M8" s="148"/>
      <c r="N8" s="150"/>
      <c r="O8" s="126"/>
      <c r="P8" s="128" t="s">
        <v>81</v>
      </c>
      <c r="Q8" s="128" t="s">
        <v>180</v>
      </c>
      <c r="R8" s="128"/>
      <c r="S8" s="128"/>
    </row>
    <row r="9" spans="2:19" ht="13.5" thickBot="1" x14ac:dyDescent="0.25">
      <c r="B9" s="122" t="s">
        <v>183</v>
      </c>
      <c r="C9" s="122" t="str">
        <f>DemTechs_INDF!P5</f>
        <v>MANHEAT</v>
      </c>
      <c r="D9" s="122" t="str">
        <f>E$2</f>
        <v>GWh</v>
      </c>
      <c r="E9" s="124">
        <f>EBF!D18+EBF!E18</f>
        <v>10281.3477669522</v>
      </c>
      <c r="F9" s="124"/>
      <c r="G9" s="124">
        <f t="shared" ref="G9:L9" si="0">$E$9*(1+$N$9)^(G6-$E$6)</f>
        <v>20811.797787542779</v>
      </c>
      <c r="H9" s="124">
        <f t="shared" si="0"/>
        <v>67412.770774944656</v>
      </c>
      <c r="I9" s="124">
        <f t="shared" si="0"/>
        <v>218360.84080518034</v>
      </c>
      <c r="J9" s="124">
        <f t="shared" si="0"/>
        <v>707305.9933455087</v>
      </c>
      <c r="K9" s="124">
        <f t="shared" si="0"/>
        <v>2291078.2280272678</v>
      </c>
      <c r="L9" s="124">
        <f t="shared" si="0"/>
        <v>7421172.019358933</v>
      </c>
      <c r="N9" s="152">
        <f>EBF!K62</f>
        <v>0.26498832137448636</v>
      </c>
      <c r="P9" s="9" t="s">
        <v>87</v>
      </c>
      <c r="Q9" s="9"/>
      <c r="R9" s="9"/>
      <c r="S9" s="9"/>
    </row>
    <row r="10" spans="2:19" ht="13.5" thickBot="1" x14ac:dyDescent="0.25">
      <c r="B10" s="122" t="s">
        <v>183</v>
      </c>
      <c r="C10" s="122" t="str">
        <f>DemTechs_INDF!P6</f>
        <v>MANELC</v>
      </c>
      <c r="D10" s="122" t="str">
        <f>E$2</f>
        <v>GWh</v>
      </c>
      <c r="E10" s="124">
        <f>EBF!J18</f>
        <v>2861.5612011470998</v>
      </c>
      <c r="F10" s="124"/>
      <c r="G10" s="124">
        <f t="shared" ref="G10:L10" si="1">$E$10*(1+$N$10)^(G6-$E$6)</f>
        <v>3692.8738709213426</v>
      </c>
      <c r="H10" s="124">
        <f t="shared" si="1"/>
        <v>5648.9387778083592</v>
      </c>
      <c r="I10" s="124">
        <f t="shared" si="1"/>
        <v>8641.1045789293585</v>
      </c>
      <c r="J10" s="124">
        <f t="shared" si="1"/>
        <v>13218.179782249905</v>
      </c>
      <c r="K10" s="124">
        <f t="shared" si="1"/>
        <v>20219.669274912092</v>
      </c>
      <c r="L10" s="124">
        <f t="shared" si="1"/>
        <v>30929.752229261561</v>
      </c>
      <c r="N10" s="153">
        <f>EBF!L63</f>
        <v>8.8730723400078371E-2</v>
      </c>
      <c r="P10" s="1" t="s">
        <v>185</v>
      </c>
      <c r="Q10" s="1" t="str">
        <f>DemTechs_INDF!P$6</f>
        <v>MANELC</v>
      </c>
      <c r="R10" s="91" t="s">
        <v>186</v>
      </c>
      <c r="S10" s="129">
        <v>0.75</v>
      </c>
    </row>
    <row r="11" spans="2:19" ht="13.5" thickBot="1" x14ac:dyDescent="0.25">
      <c r="B11" s="122"/>
      <c r="C11" s="122"/>
      <c r="D11" s="122"/>
      <c r="E11" s="124"/>
      <c r="F11" s="124"/>
      <c r="G11" s="124"/>
      <c r="L11" s="5"/>
      <c r="N11" s="151"/>
      <c r="P11" s="1" t="s">
        <v>185</v>
      </c>
      <c r="Q11" s="1" t="str">
        <f>DemTechs_INDF!P$6</f>
        <v>MANELC</v>
      </c>
      <c r="R11" s="91" t="s">
        <v>187</v>
      </c>
      <c r="S11" s="129">
        <v>0.25</v>
      </c>
    </row>
    <row r="12" spans="2:19" x14ac:dyDescent="0.2">
      <c r="B12" s="122"/>
      <c r="C12" s="122"/>
      <c r="D12" s="141" t="s">
        <v>250</v>
      </c>
      <c r="E12" s="266">
        <f>E10/(E$9+E$10)</f>
        <v>0.21772662415091906</v>
      </c>
      <c r="F12" s="266"/>
      <c r="G12" s="266">
        <f>G10/(G$9+G$10)</f>
        <v>0.15070081013086306</v>
      </c>
      <c r="H12" s="266">
        <f t="shared" ref="H12:L12" si="2">H10/(H$9+H$10)</f>
        <v>7.7317363806408537E-2</v>
      </c>
      <c r="I12" s="266">
        <f t="shared" si="2"/>
        <v>3.8066213768819274E-2</v>
      </c>
      <c r="J12" s="266">
        <f t="shared" si="2"/>
        <v>1.8345227370888145E-2</v>
      </c>
      <c r="K12" s="266">
        <f t="shared" si="2"/>
        <v>8.7481883224629457E-3</v>
      </c>
      <c r="L12" s="266">
        <f t="shared" si="2"/>
        <v>4.1504736753843075E-3</v>
      </c>
      <c r="N12" s="151"/>
      <c r="O12" s="5"/>
      <c r="P12" s="1" t="s">
        <v>185</v>
      </c>
      <c r="Q12" s="1" t="str">
        <f>DemTechs_INDF!P$6</f>
        <v>MANELC</v>
      </c>
      <c r="R12" s="91" t="s">
        <v>188</v>
      </c>
      <c r="S12" s="129">
        <v>1.0416666666666666E-2</v>
      </c>
    </row>
    <row r="13" spans="2:19" x14ac:dyDescent="0.2">
      <c r="B13" s="1"/>
      <c r="D13" t="s">
        <v>251</v>
      </c>
      <c r="E13" s="266">
        <f>E9/(E$9+E$10)</f>
        <v>0.78227337584908085</v>
      </c>
      <c r="F13" s="266"/>
      <c r="G13" s="266">
        <f>G9/(G$9+G$10)</f>
        <v>0.84929918986913688</v>
      </c>
      <c r="H13" s="266">
        <f t="shared" ref="H13:L13" si="3">H9/(H$9+H$10)</f>
        <v>0.92268263619359148</v>
      </c>
      <c r="I13" s="266">
        <f t="shared" si="3"/>
        <v>0.96193378623118064</v>
      </c>
      <c r="J13" s="266">
        <f t="shared" si="3"/>
        <v>0.98165477262911194</v>
      </c>
      <c r="K13" s="266">
        <f t="shared" si="3"/>
        <v>0.99125181167753695</v>
      </c>
      <c r="L13" s="266">
        <f t="shared" si="3"/>
        <v>0.99584952632461576</v>
      </c>
      <c r="N13" s="151"/>
      <c r="P13" s="1" t="s">
        <v>185</v>
      </c>
      <c r="Q13" s="1" t="str">
        <f>DemTechs_INDF!P$6</f>
        <v>MANELC</v>
      </c>
      <c r="R13" s="130" t="s">
        <v>189</v>
      </c>
      <c r="S13" s="131">
        <v>1.0416666666666666E-2</v>
      </c>
    </row>
    <row r="14" spans="2:19" x14ac:dyDescent="0.2">
      <c r="P14" s="1" t="s">
        <v>185</v>
      </c>
      <c r="Q14" s="1" t="str">
        <f>DemTechs_INDF!P$6</f>
        <v>MANELC</v>
      </c>
      <c r="R14" t="s">
        <v>190</v>
      </c>
      <c r="S14" s="129">
        <v>1.0416666666666666E-2</v>
      </c>
    </row>
    <row r="15" spans="2:19" x14ac:dyDescent="0.2">
      <c r="P15" s="1" t="s">
        <v>185</v>
      </c>
      <c r="Q15" s="1" t="str">
        <f>DemTechs_INDF!P$6</f>
        <v>MANELC</v>
      </c>
      <c r="R15" t="s">
        <v>191</v>
      </c>
      <c r="S15" s="129">
        <v>1.0416666666666666E-2</v>
      </c>
    </row>
    <row r="16" spans="2:19" x14ac:dyDescent="0.2">
      <c r="E16" s="5"/>
      <c r="F16" s="5"/>
      <c r="P16" s="1" t="s">
        <v>185</v>
      </c>
      <c r="Q16" s="1" t="str">
        <f>DemTechs_INDF!P$6</f>
        <v>MANELC</v>
      </c>
      <c r="R16" t="s">
        <v>192</v>
      </c>
      <c r="S16" s="129">
        <v>1.0416666666666666E-2</v>
      </c>
    </row>
    <row r="17" spans="2:19" x14ac:dyDescent="0.2">
      <c r="P17" s="1" t="s">
        <v>185</v>
      </c>
      <c r="Q17" s="1" t="str">
        <f>DemTechs_INDF!P$6</f>
        <v>MANELC</v>
      </c>
      <c r="R17" t="s">
        <v>193</v>
      </c>
      <c r="S17" s="131">
        <v>1.0416666666666666E-2</v>
      </c>
    </row>
    <row r="18" spans="2:19" x14ac:dyDescent="0.2">
      <c r="P18" s="1" t="s">
        <v>185</v>
      </c>
      <c r="Q18" s="1" t="str">
        <f>DemTechs_INDF!P$6</f>
        <v>MANELC</v>
      </c>
      <c r="R18" t="s">
        <v>194</v>
      </c>
      <c r="S18" s="129">
        <v>1.0416666666666666E-2</v>
      </c>
    </row>
    <row r="19" spans="2:19" x14ac:dyDescent="0.2">
      <c r="B19" s="1"/>
      <c r="E19" s="5">
        <f>EBF!J19</f>
        <v>150.60848427090019</v>
      </c>
      <c r="F19" s="5"/>
      <c r="P19" s="1" t="s">
        <v>185</v>
      </c>
      <c r="Q19" s="1" t="str">
        <f>DemTechs_INDF!P$6</f>
        <v>MANELC</v>
      </c>
      <c r="R19" t="s">
        <v>195</v>
      </c>
      <c r="S19" s="129">
        <v>1.0416666666666666E-2</v>
      </c>
    </row>
    <row r="20" spans="2:19" x14ac:dyDescent="0.2">
      <c r="B20" s="1"/>
      <c r="E20" s="5">
        <f>EBF!E19</f>
        <v>8781.4640358504003</v>
      </c>
      <c r="F20" s="5"/>
      <c r="P20" s="1" t="s">
        <v>185</v>
      </c>
      <c r="Q20" s="1" t="str">
        <f>DemTechs_INDF!P$6</f>
        <v>MANELC</v>
      </c>
      <c r="R20" t="s">
        <v>196</v>
      </c>
      <c r="S20" s="129">
        <v>1.0416666666666666E-2</v>
      </c>
    </row>
    <row r="21" spans="2:19" x14ac:dyDescent="0.2">
      <c r="P21" s="1" t="s">
        <v>185</v>
      </c>
      <c r="Q21" s="1" t="str">
        <f>DemTechs_INDF!P$6</f>
        <v>MANELC</v>
      </c>
      <c r="R21" t="s">
        <v>197</v>
      </c>
      <c r="S21" s="131">
        <v>1.0416666666666666E-2</v>
      </c>
    </row>
    <row r="22" spans="2:19" x14ac:dyDescent="0.2">
      <c r="B22" s="123"/>
      <c r="C22" s="1" t="s">
        <v>98</v>
      </c>
      <c r="P22" s="1" t="s">
        <v>185</v>
      </c>
      <c r="Q22" s="1" t="str">
        <f>DemTechs_INDF!P$6</f>
        <v>MANELC</v>
      </c>
      <c r="R22" t="s">
        <v>198</v>
      </c>
      <c r="S22" s="129">
        <v>1.0416666666666666E-2</v>
      </c>
    </row>
    <row r="23" spans="2:19" x14ac:dyDescent="0.2">
      <c r="B23" s="47"/>
      <c r="C23" s="1" t="s">
        <v>99</v>
      </c>
      <c r="P23" s="1" t="s">
        <v>185</v>
      </c>
      <c r="Q23" s="1" t="str">
        <f>DemTechs_INDF!P$6</f>
        <v>MANELC</v>
      </c>
      <c r="R23" t="s">
        <v>199</v>
      </c>
      <c r="S23" s="129">
        <v>1.0416666666666666E-2</v>
      </c>
    </row>
    <row r="24" spans="2:19" x14ac:dyDescent="0.2">
      <c r="P24" s="1" t="s">
        <v>185</v>
      </c>
      <c r="Q24" s="1" t="str">
        <f>DemTechs_INDF!P$6</f>
        <v>MANELC</v>
      </c>
      <c r="R24" t="s">
        <v>200</v>
      </c>
      <c r="S24" s="129">
        <v>1.0416666666666666E-2</v>
      </c>
    </row>
    <row r="25" spans="2:19" x14ac:dyDescent="0.2">
      <c r="P25" s="1" t="s">
        <v>185</v>
      </c>
      <c r="Q25" s="1" t="str">
        <f>DemTechs_INDF!P$6</f>
        <v>MANELC</v>
      </c>
      <c r="R25" t="s">
        <v>201</v>
      </c>
      <c r="S25" s="131">
        <v>1.0416666666666666E-2</v>
      </c>
    </row>
    <row r="26" spans="2:19" x14ac:dyDescent="0.2">
      <c r="P26" s="1" t="s">
        <v>185</v>
      </c>
      <c r="Q26" s="1" t="str">
        <f>DemTechs_INDF!P$6</f>
        <v>MANELC</v>
      </c>
      <c r="R26" t="s">
        <v>202</v>
      </c>
      <c r="S26" s="129">
        <v>1.0416666666666666E-2</v>
      </c>
    </row>
    <row r="27" spans="2:19" x14ac:dyDescent="0.2">
      <c r="P27" s="1" t="s">
        <v>185</v>
      </c>
      <c r="Q27" s="1" t="str">
        <f>DemTechs_INDF!P$6</f>
        <v>MANELC</v>
      </c>
      <c r="R27" t="s">
        <v>203</v>
      </c>
      <c r="S27" s="129">
        <v>1.0416666666666666E-2</v>
      </c>
    </row>
    <row r="28" spans="2:19" x14ac:dyDescent="0.2">
      <c r="P28" s="1" t="s">
        <v>185</v>
      </c>
      <c r="Q28" s="1" t="str">
        <f>DemTechs_INDF!P$6</f>
        <v>MANELC</v>
      </c>
      <c r="R28" t="s">
        <v>204</v>
      </c>
      <c r="S28" s="129">
        <v>1.0416666666666666E-2</v>
      </c>
    </row>
    <row r="29" spans="2:19" x14ac:dyDescent="0.2">
      <c r="P29" s="1" t="s">
        <v>185</v>
      </c>
      <c r="Q29" s="1" t="str">
        <f>DemTechs_INDF!P$6</f>
        <v>MANELC</v>
      </c>
      <c r="R29" t="s">
        <v>205</v>
      </c>
      <c r="S29" s="131">
        <v>1.0416666666666666E-2</v>
      </c>
    </row>
    <row r="30" spans="2:19" x14ac:dyDescent="0.2">
      <c r="P30" s="1" t="s">
        <v>185</v>
      </c>
      <c r="Q30" s="1" t="str">
        <f>DemTechs_INDF!P$6</f>
        <v>MANELC</v>
      </c>
      <c r="R30" t="s">
        <v>206</v>
      </c>
      <c r="S30" s="129">
        <v>1.0416666666666666E-2</v>
      </c>
    </row>
    <row r="31" spans="2:19" x14ac:dyDescent="0.2">
      <c r="P31" s="1" t="s">
        <v>185</v>
      </c>
      <c r="Q31" s="1" t="str">
        <f>DemTechs_INDF!P$6</f>
        <v>MANELC</v>
      </c>
      <c r="R31" t="s">
        <v>207</v>
      </c>
      <c r="S31" s="129">
        <v>1.0416666666666666E-2</v>
      </c>
    </row>
    <row r="32" spans="2:19" x14ac:dyDescent="0.2">
      <c r="P32" s="1" t="s">
        <v>185</v>
      </c>
      <c r="Q32" s="1" t="str">
        <f>DemTechs_INDF!P$6</f>
        <v>MANELC</v>
      </c>
      <c r="R32" t="s">
        <v>208</v>
      </c>
      <c r="S32" s="129">
        <v>1.0416666666666666E-2</v>
      </c>
    </row>
    <row r="33" spans="16:19" x14ac:dyDescent="0.2">
      <c r="P33" s="1" t="s">
        <v>185</v>
      </c>
      <c r="Q33" s="1" t="str">
        <f>DemTechs_INDF!P$6</f>
        <v>MANELC</v>
      </c>
      <c r="R33" t="s">
        <v>209</v>
      </c>
      <c r="S33" s="131">
        <v>1.0416666666666666E-2</v>
      </c>
    </row>
    <row r="34" spans="16:19" x14ac:dyDescent="0.2">
      <c r="P34" s="1" t="s">
        <v>185</v>
      </c>
      <c r="Q34" s="1" t="str">
        <f>DemTechs_INDF!P$6</f>
        <v>MANELC</v>
      </c>
      <c r="R34" t="s">
        <v>210</v>
      </c>
      <c r="S34" s="129">
        <v>1.0416666666666666E-2</v>
      </c>
    </row>
    <row r="35" spans="16:19" x14ac:dyDescent="0.2">
      <c r="P35" s="1" t="s">
        <v>185</v>
      </c>
      <c r="Q35" s="1" t="str">
        <f>DemTechs_INDF!P$6</f>
        <v>MANELC</v>
      </c>
      <c r="R35" t="s">
        <v>211</v>
      </c>
      <c r="S35" s="129">
        <v>1.0416666666666666E-2</v>
      </c>
    </row>
    <row r="36" spans="16:19" x14ac:dyDescent="0.2">
      <c r="P36" s="1" t="s">
        <v>185</v>
      </c>
      <c r="Q36" s="1" t="str">
        <f>DemTechs_INDF!P$6</f>
        <v>MANELC</v>
      </c>
      <c r="R36" t="s">
        <v>212</v>
      </c>
      <c r="S36" s="129">
        <v>3.125E-2</v>
      </c>
    </row>
    <row r="37" spans="16:19" x14ac:dyDescent="0.2">
      <c r="P37" s="1" t="s">
        <v>185</v>
      </c>
      <c r="Q37" s="1" t="str">
        <f>DemTechs_INDF!P$6</f>
        <v>MANELC</v>
      </c>
      <c r="R37" t="s">
        <v>213</v>
      </c>
      <c r="S37" s="131">
        <v>3.125E-2</v>
      </c>
    </row>
    <row r="38" spans="16:19" x14ac:dyDescent="0.2">
      <c r="P38" s="1" t="s">
        <v>185</v>
      </c>
      <c r="Q38" s="1" t="str">
        <f>DemTechs_INDF!P$6</f>
        <v>MANELC</v>
      </c>
      <c r="R38" t="s">
        <v>214</v>
      </c>
      <c r="S38" s="129">
        <v>3.125E-2</v>
      </c>
    </row>
    <row r="39" spans="16:19" x14ac:dyDescent="0.2">
      <c r="P39" s="1" t="s">
        <v>185</v>
      </c>
      <c r="Q39" s="1" t="str">
        <f>DemTechs_INDF!P$6</f>
        <v>MANELC</v>
      </c>
      <c r="R39" t="s">
        <v>215</v>
      </c>
      <c r="S39" s="129">
        <v>3.125E-2</v>
      </c>
    </row>
    <row r="40" spans="16:19" x14ac:dyDescent="0.2">
      <c r="P40" s="1" t="s">
        <v>185</v>
      </c>
      <c r="Q40" s="1" t="str">
        <f>DemTechs_INDF!P$6</f>
        <v>MANELC</v>
      </c>
      <c r="R40" t="s">
        <v>216</v>
      </c>
      <c r="S40" s="129">
        <v>3.125E-2</v>
      </c>
    </row>
    <row r="41" spans="16:19" x14ac:dyDescent="0.2">
      <c r="P41" s="1" t="s">
        <v>185</v>
      </c>
      <c r="Q41" s="1" t="str">
        <f>DemTechs_INDF!P$6</f>
        <v>MANELC</v>
      </c>
      <c r="R41" t="s">
        <v>217</v>
      </c>
      <c r="S41" s="131">
        <v>3.125E-2</v>
      </c>
    </row>
    <row r="42" spans="16:19" x14ac:dyDescent="0.2">
      <c r="P42" s="1" t="s">
        <v>185</v>
      </c>
      <c r="Q42" s="1" t="str">
        <f>DemTechs_INDF!P$6</f>
        <v>MANELC</v>
      </c>
      <c r="R42" t="s">
        <v>218</v>
      </c>
      <c r="S42" s="129">
        <v>3.125E-2</v>
      </c>
    </row>
    <row r="43" spans="16:19" x14ac:dyDescent="0.2">
      <c r="P43" s="1" t="s">
        <v>185</v>
      </c>
      <c r="Q43" s="1" t="str">
        <f>DemTechs_INDF!P$6</f>
        <v>MANELC</v>
      </c>
      <c r="R43" t="s">
        <v>219</v>
      </c>
      <c r="S43" s="129">
        <v>3.125E-2</v>
      </c>
    </row>
    <row r="44" spans="16:19" x14ac:dyDescent="0.2">
      <c r="P44" s="1" t="s">
        <v>185</v>
      </c>
      <c r="Q44" s="1" t="str">
        <f>DemTechs_INDF!P$6</f>
        <v>MANELC</v>
      </c>
      <c r="R44" t="s">
        <v>220</v>
      </c>
      <c r="S44" s="129">
        <v>3.125E-2</v>
      </c>
    </row>
    <row r="45" spans="16:19" x14ac:dyDescent="0.2">
      <c r="P45" s="1" t="s">
        <v>185</v>
      </c>
      <c r="Q45" s="1" t="str">
        <f>DemTechs_INDF!P$6</f>
        <v>MANELC</v>
      </c>
      <c r="R45" t="s">
        <v>221</v>
      </c>
      <c r="S45" s="131">
        <v>3.125E-2</v>
      </c>
    </row>
    <row r="46" spans="16:19" x14ac:dyDescent="0.2">
      <c r="P46" s="1" t="s">
        <v>185</v>
      </c>
      <c r="Q46" s="1" t="str">
        <f>DemTechs_INDF!P$6</f>
        <v>MANELC</v>
      </c>
      <c r="R46" t="s">
        <v>222</v>
      </c>
      <c r="S46" s="129">
        <v>3.125E-2</v>
      </c>
    </row>
    <row r="47" spans="16:19" x14ac:dyDescent="0.2">
      <c r="P47" s="1" t="s">
        <v>185</v>
      </c>
      <c r="Q47" s="1" t="str">
        <f>DemTechs_INDF!P$6</f>
        <v>MANELC</v>
      </c>
      <c r="R47" t="s">
        <v>223</v>
      </c>
      <c r="S47" s="129">
        <v>3.125E-2</v>
      </c>
    </row>
    <row r="48" spans="16:19" x14ac:dyDescent="0.2">
      <c r="P48" s="1" t="s">
        <v>185</v>
      </c>
      <c r="Q48" s="1" t="str">
        <f>DemTechs_INDF!P$6</f>
        <v>MANELC</v>
      </c>
      <c r="R48" t="s">
        <v>224</v>
      </c>
      <c r="S48" s="129">
        <v>3.125E-2</v>
      </c>
    </row>
    <row r="49" spans="16:19" x14ac:dyDescent="0.2">
      <c r="P49" s="1" t="s">
        <v>185</v>
      </c>
      <c r="Q49" s="1" t="str">
        <f>DemTechs_INDF!P$6</f>
        <v>MANELC</v>
      </c>
      <c r="R49" t="s">
        <v>225</v>
      </c>
      <c r="S49" s="131">
        <v>3.125E-2</v>
      </c>
    </row>
    <row r="50" spans="16:19" x14ac:dyDescent="0.2">
      <c r="P50" s="1" t="s">
        <v>185</v>
      </c>
      <c r="Q50" s="1" t="str">
        <f>DemTechs_INDF!P$6</f>
        <v>MANELC</v>
      </c>
      <c r="R50" t="s">
        <v>226</v>
      </c>
      <c r="S50" s="129">
        <v>3.125E-2</v>
      </c>
    </row>
    <row r="51" spans="16:19" x14ac:dyDescent="0.2">
      <c r="P51" s="1" t="s">
        <v>185</v>
      </c>
      <c r="Q51" s="1" t="str">
        <f>DemTechs_INDF!P$6</f>
        <v>MANELC</v>
      </c>
      <c r="R51" t="s">
        <v>227</v>
      </c>
      <c r="S51" s="129">
        <v>3.125E-2</v>
      </c>
    </row>
    <row r="52" spans="16:19" x14ac:dyDescent="0.2">
      <c r="P52" s="1" t="s">
        <v>185</v>
      </c>
      <c r="Q52" s="1" t="str">
        <f>DemTechs_INDF!P$6</f>
        <v>MANELC</v>
      </c>
      <c r="R52" t="s">
        <v>228</v>
      </c>
      <c r="S52" s="129">
        <v>3.125E-2</v>
      </c>
    </row>
    <row r="53" spans="16:19" x14ac:dyDescent="0.2">
      <c r="P53" s="1" t="s">
        <v>185</v>
      </c>
      <c r="Q53" s="1" t="str">
        <f>DemTechs_INDF!P$6</f>
        <v>MANELC</v>
      </c>
      <c r="R53" t="s">
        <v>229</v>
      </c>
      <c r="S53" s="131">
        <v>3.125E-2</v>
      </c>
    </row>
    <row r="54" spans="16:19" x14ac:dyDescent="0.2">
      <c r="P54" s="1" t="s">
        <v>185</v>
      </c>
      <c r="Q54" s="1" t="str">
        <f>DemTechs_INDF!P$6</f>
        <v>MANELC</v>
      </c>
      <c r="R54" t="s">
        <v>230</v>
      </c>
      <c r="S54" s="129">
        <v>3.125E-2</v>
      </c>
    </row>
    <row r="55" spans="16:19" x14ac:dyDescent="0.2">
      <c r="P55" s="1" t="s">
        <v>185</v>
      </c>
      <c r="Q55" s="1" t="str">
        <f>DemTechs_INDF!P$6</f>
        <v>MANELC</v>
      </c>
      <c r="R55" t="s">
        <v>231</v>
      </c>
      <c r="S55" s="129">
        <v>3.125E-2</v>
      </c>
    </row>
    <row r="56" spans="16:19" x14ac:dyDescent="0.2">
      <c r="P56" s="1" t="s">
        <v>185</v>
      </c>
      <c r="Q56" s="1" t="str">
        <f>DemTechs_INDF!P$6</f>
        <v>MANELC</v>
      </c>
      <c r="R56" t="s">
        <v>232</v>
      </c>
      <c r="S56" s="129">
        <v>3.125E-2</v>
      </c>
    </row>
    <row r="57" spans="16:19" x14ac:dyDescent="0.2">
      <c r="P57" s="1" t="s">
        <v>185</v>
      </c>
      <c r="Q57" s="1" t="str">
        <f>DemTechs_INDF!P$6</f>
        <v>MANELC</v>
      </c>
      <c r="R57" t="s">
        <v>233</v>
      </c>
      <c r="S57" s="131">
        <v>3.125E-2</v>
      </c>
    </row>
    <row r="58" spans="16:19" x14ac:dyDescent="0.2">
      <c r="P58" s="1" t="s">
        <v>185</v>
      </c>
      <c r="Q58" s="1" t="str">
        <f>DemTechs_INDF!P$6</f>
        <v>MANELC</v>
      </c>
      <c r="R58" t="s">
        <v>234</v>
      </c>
      <c r="S58" s="129">
        <v>3.125E-2</v>
      </c>
    </row>
    <row r="59" spans="16:19" x14ac:dyDescent="0.2">
      <c r="P59" s="1" t="s">
        <v>185</v>
      </c>
      <c r="Q59" s="1" t="str">
        <f>DemTechs_INDF!P$6</f>
        <v>MANELC</v>
      </c>
      <c r="R59" t="s">
        <v>235</v>
      </c>
      <c r="S59" s="129">
        <v>3.125E-2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topLeftCell="A5" workbookViewId="0">
      <selection activeCell="S19" sqref="S1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242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243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244</v>
      </c>
      <c r="D7" s="138" t="s">
        <v>244</v>
      </c>
      <c r="E7" s="138" t="s">
        <v>244</v>
      </c>
      <c r="F7" s="138" t="s">
        <v>244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2025-11-05T16:38:44Z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