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71269C50-3C9D-4F01-A2CA-767557DCED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_Data" sheetId="6" r:id="rId1"/>
    <sheet name="IND_De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<sst xmlns="http://schemas.openxmlformats.org/spreadsheetml/2006/main" count="38" uniqueCount="18">
  <si>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</si>
  <si>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</si>
  <si>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</si>
  <si>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</si>
  <si>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</si>
  <si>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</si>
  <si>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</si>
  <si>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</si>
  <si>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~TFM_FILL</t>
  </si>
  <si>
    <t>Operation_Sum_Avg_Count</t>
  </si>
  <si>
    <t>Scenario Name</t>
  </si>
  <si>
    <t>A</t>
  </si>
  <si>
    <t>BASE</t>
  </si>
  <si>
    <t>ETH</t>
  </si>
  <si>
    <t>MANHEAT</t>
  </si>
  <si>
    <t>MANELC</t>
  </si>
  <si>
    <t>Year2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</si>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</sst>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9" fontId="8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9" fontId="0" fillId="0" borderId="0" xfId="0" applyNumberFormat="1"/>
    <xf numFmtId="1" fontId="0" fillId="0" borderId="0" xfId="0" applyNumberFormat="1"/>
    <xf numFmtId="9" fontId="0" fillId="0" borderId="0" xfId="19" applyFont="1"/>
    <xf numFmtId="0" fontId="9" fillId="6" borderId="0" xfId="1" applyFont="1" applyFill="1" applyBorder="1" applyAlignment="1">
      <alignment horizontal="center" wrapText="1"/>
    </xf>
  </cellXfs>
  <cellStyles count="20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 cent" xfId="19" builtinId="5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11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A6AB2E-8228-4439-882A-A3A0796CDBFD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1</xdr:row>
      <xdr:rowOff>66674</xdr:rowOff>
    </xdr:from>
    <xdr:to>
      <xdr:col>18</xdr:col>
      <xdr:colOff>200025</xdr:colOff>
      <xdr:row>3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A14A43-3B39-4460-B8FC-818767E65D62}"/>
            </a:ext>
          </a:extLst>
        </xdr:cNvPr>
        <xdr:cNvSpPr txBox="1"/>
      </xdr:nvSpPr>
      <xdr:spPr>
        <a:xfrm>
          <a:off x="8458200" y="25717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"/>
  <sheetViews>
    <sheetView tabSelected="1" workbookViewId="0">
      <selection activeCell="J12" sqref="J12"/>
    </sheetView>
  </sheetViews>
  <sheetFormatPr defaultRowHeight="15" x14ac:dyDescent="0.25"/>
  <cols>
    <col min="2" max="2" width="26.42578125" bestFit="1" customWidth="1"/>
    <col min="4" max="4" width="10.140625" bestFit="1" customWidth="1"/>
  </cols>
  <sheetData>
    <row r="2" spans="2:9" x14ac:dyDescent="0.25">
      <c r="B2" s="1" t="s">
        <v>8</v>
      </c>
      <c r="C2" s="6"/>
      <c r="D2" s="6"/>
      <c r="E2" s="6"/>
      <c r="F2" s="6"/>
      <c r="G2" s="6"/>
      <c r="H2" s="6"/>
    </row>
    <row r="3" spans="2:9" ht="15.75" thickBot="1" x14ac:dyDescent="0.3">
      <c r="B3" s="7" t="s">
        <v>9</v>
      </c>
      <c r="C3" s="7" t="s">
        <v>10</v>
      </c>
      <c r="D3" s="3" t="s">
        <v>4</v>
      </c>
      <c r="E3" s="3" t="s">
        <v>2</v>
      </c>
      <c r="F3" s="3" t="s">
        <v>1</v>
      </c>
      <c r="G3" s="3" t="s">
        <v>17</v>
      </c>
      <c r="H3" s="4" t="s">
        <v>13</v>
      </c>
      <c r="I3" s="5" t="s">
        <v>0</v>
      </c>
    </row>
    <row r="4" spans="2:9" x14ac:dyDescent="0.25">
      <c r="B4" t="s">
        <v>11</v>
      </c>
      <c r="C4" t="s">
        <v>12</v>
      </c>
      <c r="F4" t="s">
        <v>6</v>
      </c>
      <c r="G4">
        <v>2022</v>
      </c>
      <c r="H4">
        <v>2861.5612011470998</v>
      </c>
      <c r="I4" t="s">
        <v>15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>
      <selection activeCell="E3" sqref="E3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0.7109375" customWidth="1"/>
    <col min="7" max="7" width="8.42578125" bestFit="1" customWidth="1"/>
    <col min="10" max="10" width="14.85546875" customWidth="1"/>
  </cols>
  <sheetData>
    <row r="1" spans="1:11" ht="51.75" customHeight="1" x14ac:dyDescent="0.25">
      <c r="A1" t="s">
        <v>5</v>
      </c>
      <c r="J1" s="12" t="s">
        <v>7</v>
      </c>
      <c r="K1" s="12"/>
    </row>
    <row r="2" spans="1:11" x14ac:dyDescent="0.25">
      <c r="B2" s="1" t="s">
        <v>3</v>
      </c>
      <c r="G2" s="2"/>
      <c r="J2" t="s">
        <v>14</v>
      </c>
      <c r="K2" t="s">
        <v>15</v>
      </c>
    </row>
    <row r="3" spans="1:11" ht="15.75" thickBot="1" x14ac:dyDescent="0.3">
      <c r="B3" s="3" t="s">
        <v>4</v>
      </c>
      <c r="C3" s="3" t="s">
        <v>2</v>
      </c>
      <c r="D3" s="3" t="s">
        <v>1</v>
      </c>
      <c r="E3" s="3" t="s">
        <v>16</v>
      </c>
      <c r="F3" s="4" t="s">
        <v>13</v>
      </c>
      <c r="G3" s="5" t="s">
        <v>0</v>
      </c>
      <c r="J3" s="8" t="s">
        <v>13</v>
      </c>
      <c r="K3" s="8" t="s">
        <v>13</v>
      </c>
    </row>
    <row r="4" spans="1:11" x14ac:dyDescent="0.25">
      <c r="D4" t="s">
        <v>6</v>
      </c>
      <c r="E4">
        <v>2025</v>
      </c>
      <c r="F4" s="10">
        <f>BY_Data!$H$4*(1+$K$4)^(E4-2022)</f>
        <v>3692.8738709213426</v>
      </c>
      <c r="G4" s="6" t="s">
        <v>15</v>
      </c>
      <c r="J4" s="9">
        <v>0.26498832137448636</v>
      </c>
      <c r="K4" s="11">
        <v>8.8730723400078371E-2</v>
      </c>
    </row>
    <row r="5" spans="1:11" x14ac:dyDescent="0.25">
      <c r="D5" t="s">
        <v>6</v>
      </c>
      <c r="E5">
        <v>2030</v>
      </c>
      <c r="F5" s="10">
        <f>BY_Data!$H$4*(1+$K$4)^(E5-2022)</f>
        <v>5648.9387778083592</v>
      </c>
      <c r="G5" s="6" t="s">
        <v>15</v>
      </c>
      <c r="J5" s="9"/>
    </row>
    <row r="6" spans="1:11" x14ac:dyDescent="0.25">
      <c r="D6" t="s">
        <v>6</v>
      </c>
      <c r="E6">
        <v>2035</v>
      </c>
      <c r="F6" s="10">
        <f>BY_Data!$H$4*(1+$K$4)^(E6-2022)</f>
        <v>8641.1045789293585</v>
      </c>
      <c r="G6" s="6" t="s">
        <v>15</v>
      </c>
      <c r="J6" s="9"/>
    </row>
    <row r="7" spans="1:11" x14ac:dyDescent="0.25">
      <c r="D7" t="s">
        <v>6</v>
      </c>
      <c r="E7">
        <v>2040</v>
      </c>
      <c r="F7" s="10">
        <f>BY_Data!$H$4*(1+$K$4)^(E7-2022)</f>
        <v>13218.179782249905</v>
      </c>
      <c r="G7" s="6" t="s">
        <v>15</v>
      </c>
      <c r="J7" s="9"/>
    </row>
    <row r="8" spans="1:11" x14ac:dyDescent="0.25">
      <c r="D8" t="s">
        <v>6</v>
      </c>
      <c r="E8">
        <v>2045</v>
      </c>
      <c r="F8" s="10">
        <f>BY_Data!$H$4*(1+$K$4)^(E8-2022)</f>
        <v>20219.669274912092</v>
      </c>
      <c r="G8" s="6" t="s">
        <v>15</v>
      </c>
    </row>
    <row r="9" spans="1:11" x14ac:dyDescent="0.25">
      <c r="D9" t="s">
        <v>6</v>
      </c>
      <c r="E9">
        <v>2050</v>
      </c>
      <c r="F9" s="10">
        <f>BY_Data!$H$4*(1+$K$4)^(E9-2022)</f>
        <v>30929.752229261561</v>
      </c>
      <c r="G9" s="6" t="s">
        <v>15</v>
      </c>
    </row>
  </sheetData>
  <mergeCells count="1">
    <mergeCell ref="J1:K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IND_Dem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2025-11-04T16:16:11Z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2025-11-04T10:19:36Z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74c661e3-da2c-42cc-8c0d-2496fa91bca0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