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F7E0B5E1-789F-4116-A7AA-8B8D6CA5769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<sst xmlns="http://schemas.openxmlformats.org/spreadsheetml/2006/main" count="238" uniqueCount="127">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</sst>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 refreshError="1"/>
      <sheetData sheetId="1" refreshError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opLeftCell="E1" zoomScale="96" zoomScaleNormal="96" workbookViewId="0">
      <selection activeCell="U37" sqref="U3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86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86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86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86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101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74</v>
      </c>
      <c r="P7" s="72" t="s">
        <v>111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117</v>
      </c>
      <c r="P8" s="72" t="s">
        <v>112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79</v>
      </c>
      <c r="H23" s="24" t="s">
        <v>80</v>
      </c>
      <c r="I23" s="24" t="s">
        <v>81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82</v>
      </c>
      <c r="H24" s="25" t="s">
        <v>83</v>
      </c>
      <c r="I24" s="25" t="s">
        <v>84</v>
      </c>
      <c r="J24" s="26" t="s">
        <v>85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86</v>
      </c>
      <c r="I25" s="27" t="s">
        <v>58</v>
      </c>
      <c r="J25" s="28"/>
      <c r="K25" s="28"/>
      <c r="M25" s="20" t="s">
        <v>87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102</v>
      </c>
      <c r="P28" s="34" t="s">
        <v>105</v>
      </c>
      <c r="Q28" t="s">
        <v>58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103</v>
      </c>
      <c r="P29" s="34" t="s">
        <v>104</v>
      </c>
      <c r="Q29" t="s">
        <v>58</v>
      </c>
    </row>
    <row r="30" spans="2:21" x14ac:dyDescent="0.2">
      <c r="B30" s="19" t="s">
        <v>66</v>
      </c>
      <c r="C30" s="19" t="str">
        <f>O8</f>
        <v>SOLAR</v>
      </c>
      <c r="D30" s="19" t="s">
        <v>71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113</v>
      </c>
      <c r="P30" s="73" t="s">
        <v>116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114</v>
      </c>
      <c r="P31" s="73" t="s">
        <v>115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88</v>
      </c>
      <c r="H41" s="68"/>
      <c r="I41" s="69"/>
      <c r="J41" s="68"/>
      <c r="K41" s="68"/>
    </row>
    <row r="42" spans="2:16" x14ac:dyDescent="0.2">
      <c r="B42" s="38"/>
      <c r="C42" s="1" t="s">
        <v>89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zoomScale="118" zoomScaleNormal="118" workbookViewId="0">
      <selection activeCell="C18" sqref="C18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90</v>
      </c>
    </row>
    <row r="2" spans="2:22" ht="31.5" x14ac:dyDescent="0.25">
      <c r="B2" s="4" t="s">
        <v>107</v>
      </c>
      <c r="C2" s="4" t="s">
        <v>108</v>
      </c>
      <c r="D2" s="39" t="str">
        <f>"Demand Technologies"</f>
        <v>Demand Technologies</v>
      </c>
      <c r="E2" s="4" t="s">
        <v>58</v>
      </c>
      <c r="F2" s="4" t="s">
        <v>109</v>
      </c>
      <c r="G2" s="4"/>
      <c r="H2" s="4" t="s">
        <v>106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91</v>
      </c>
      <c r="F15" s="46" t="s">
        <v>118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92</v>
      </c>
      <c r="F16" s="48" t="s">
        <v>93</v>
      </c>
      <c r="G16" s="48" t="s">
        <v>35</v>
      </c>
      <c r="H16" s="49" t="s">
        <v>49</v>
      </c>
      <c r="I16" s="48" t="s">
        <v>57</v>
      </c>
      <c r="J16" s="48" t="s">
        <v>94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95</v>
      </c>
      <c r="F17" s="52"/>
      <c r="G17" s="52"/>
      <c r="H17" s="53"/>
      <c r="I17" s="52" t="s">
        <v>54</v>
      </c>
      <c r="J17" s="52" t="s">
        <v>86</v>
      </c>
      <c r="K17" s="53"/>
      <c r="L17" s="54"/>
      <c r="M17" s="54"/>
      <c r="N17" s="44" t="s">
        <v>87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126</v>
      </c>
      <c r="R18" s="9" t="s">
        <v>58</v>
      </c>
      <c r="S18" s="9" t="s">
        <v>96</v>
      </c>
      <c r="T18" s="59" t="s">
        <v>97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119</v>
      </c>
      <c r="Q19" s="58" t="s">
        <v>110</v>
      </c>
      <c r="R19" s="9" t="s">
        <v>58</v>
      </c>
      <c r="S19" s="9" t="s">
        <v>96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120</v>
      </c>
      <c r="Q20" s="58" t="s">
        <v>125</v>
      </c>
      <c r="R20" s="9" t="s">
        <v>58</v>
      </c>
      <c r="S20" s="9" t="s">
        <v>96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78</v>
      </c>
      <c r="R21" s="9" t="s">
        <v>58</v>
      </c>
      <c r="S21" s="9" t="s">
        <v>96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121</v>
      </c>
      <c r="Q22" s="58" t="s">
        <v>122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123</v>
      </c>
      <c r="Q23" s="58" t="s">
        <v>124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88</v>
      </c>
      <c r="H29" s="63"/>
    </row>
    <row r="30" spans="2:22" x14ac:dyDescent="0.2">
      <c r="B30" s="64"/>
      <c r="C30" s="8" t="s">
        <v>89</v>
      </c>
      <c r="H30" s="63"/>
    </row>
    <row r="31" spans="2:22" x14ac:dyDescent="0.2">
      <c r="E31" s="8" t="s">
        <v>98</v>
      </c>
      <c r="F31" s="8" t="s">
        <v>99</v>
      </c>
      <c r="H31" s="63"/>
    </row>
    <row r="33" spans="5:6" x14ac:dyDescent="0.2">
      <c r="E33" s="8" t="s">
        <v>100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2025-11-08T08:30:49Z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