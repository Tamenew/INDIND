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AF40722B-651E-40C5-BE00-6CCEF34E066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Data" sheetId="6" r:id="rId1"/>
    <sheet name="IND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<sst xmlns="http://schemas.openxmlformats.org/spreadsheetml/2006/main" count="38" uniqueCount="17">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</sst>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  <xf numFmtId="0" fontId="11" fillId="7" borderId="0" applyNumberFormat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1" fontId="0" fillId="0" borderId="0" xfId="0" applyNumberFormat="1"/>
    <xf numFmtId="1" fontId="2" fillId="8" borderId="0" xfId="20" applyNumberFormat="1" applyFont="1" applyFill="1"/>
    <xf numFmtId="9" fontId="0" fillId="0" borderId="0" xfId="19" applyFont="1"/>
    <xf numFmtId="0" fontId="10" fillId="6" borderId="0" xfId="1" applyFont="1" applyFill="1" applyBorder="1" applyAlignment="1">
      <alignment horizontal="center" wrapText="1"/>
    </xf>
  </cellXfs>
  <cellStyles count="21">
    <cellStyle name="40% - Accent3" xfId="1" builtinId="39"/>
    <cellStyle name="Comma 2" xfId="2" xr:uid="{00000000-0005-0000-0000-000001000000}"/>
    <cellStyle name="Neutral" xfId="20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I8" sqref="I8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9</v>
      </c>
      <c r="C3" s="7" t="s">
        <v>10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13</v>
      </c>
      <c r="I3" s="5" t="s">
        <v>0</v>
      </c>
    </row>
    <row r="4" spans="2:9" x14ac:dyDescent="0.25">
      <c r="B4" t="s">
        <v>11</v>
      </c>
      <c r="C4" s="10" t="s">
        <v>12</v>
      </c>
      <c r="F4" t="s">
        <v>6</v>
      </c>
      <c r="G4">
        <v>2022</v>
      </c>
      <c r="H4" s="12">
        <v>10281.3477669522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tabSelected="1" workbookViewId="0">
      <selection activeCell="J14" sqref="J14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4" t="s">
        <v>7</v>
      </c>
      <c r="K1" s="14"/>
    </row>
    <row r="2" spans="1:11" x14ac:dyDescent="0.25">
      <c r="B2" s="1" t="s">
        <v>3</v>
      </c>
      <c r="G2" s="2"/>
      <c r="J2" t="s">
        <v>14</v>
      </c>
      <c r="K2" t="s">
        <v>15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16</v>
      </c>
      <c r="F3" s="4" t="s">
        <v>13</v>
      </c>
      <c r="G3" s="5" t="s">
        <v>0</v>
      </c>
      <c r="J3" s="8" t="s">
        <v>13</v>
      </c>
      <c r="K3" s="8" t="s">
        <v>13</v>
      </c>
    </row>
    <row r="4" spans="1:11" x14ac:dyDescent="0.25">
      <c r="D4" t="s">
        <v>6</v>
      </c>
      <c r="E4">
        <v>2025</v>
      </c>
      <c r="F4" s="11">
        <f>BY_Data!$H$4*(1+$J$4)^(E4-2022)</f>
        <v>20811.797787542779</v>
      </c>
      <c r="G4" s="6" t="s">
        <v>14</v>
      </c>
      <c r="J4" s="9">
        <v>0.26498832137448636</v>
      </c>
      <c r="K4" s="13">
        <v>8.8730723400078371E-2</v>
      </c>
    </row>
    <row r="5" spans="1:11" x14ac:dyDescent="0.25">
      <c r="D5" t="s">
        <v>6</v>
      </c>
      <c r="E5">
        <v>2030</v>
      </c>
      <c r="F5" s="11">
        <f>BY_Data!$H$4*(1+$J$4)^(E5-2022)</f>
        <v>67412.770774944656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1">
        <f>BY_Data!$H$4*(1+$J$4)^(E6-2022)</f>
        <v>218360.84080518034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1">
        <f>BY_Data!$H$4*(1+$J$4)^(E7-2022)</f>
        <v>707305.9933455087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1">
        <f>BY_Data!$H$4*(1+$J$4)^(E8-2022)</f>
        <v>2291078.2280272678</v>
      </c>
      <c r="G8" s="6" t="s">
        <v>14</v>
      </c>
    </row>
    <row r="9" spans="1:11" x14ac:dyDescent="0.25">
      <c r="D9" t="s">
        <v>6</v>
      </c>
      <c r="E9">
        <v>2050</v>
      </c>
      <c r="F9" s="11">
        <f>BY_Data!$H$4*(1+$J$4)^(E9-2022)</f>
        <v>7421172.019358933</v>
      </c>
      <c r="G9" s="6" t="s">
        <v>14</v>
      </c>
    </row>
    <row r="10" spans="1:11" x14ac:dyDescent="0.25">
      <c r="F10" s="11"/>
      <c r="G10" s="6"/>
    </row>
    <row r="11" spans="1:11" x14ac:dyDescent="0.25">
      <c r="F11" s="11"/>
      <c r="G11" s="6"/>
    </row>
    <row r="12" spans="1:11" x14ac:dyDescent="0.25">
      <c r="F12" s="11"/>
      <c r="G12" s="6"/>
    </row>
    <row r="13" spans="1:11" x14ac:dyDescent="0.25">
      <c r="F13" s="11"/>
      <c r="G13" s="6"/>
    </row>
    <row r="14" spans="1:11" x14ac:dyDescent="0.25">
      <c r="F14" s="11"/>
      <c r="G14" s="6"/>
    </row>
    <row r="15" spans="1:11" x14ac:dyDescent="0.25">
      <c r="F15" s="11"/>
      <c r="G15" s="6"/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IND_Dem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2025-11-04T16:13:22Z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