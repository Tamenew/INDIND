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"/>
    </mc:Choice>
  </mc:AlternateContent>
  <xr:revisionPtr revIDLastSave="0" documentId="13_ncr:1_{9CBE8FC7-FC49-4F0D-89BE-B694061613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Y_MELC" sheetId="6" r:id="rId1"/>
    <sheet name="IND_MELC" sheetId="2" r:id="rId2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<sst xmlns="http://schemas.openxmlformats.org/spreadsheetml/2006/main" count="39" uniqueCount="19">
  <si>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</si>
  <si>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</si>
  <si>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</si>
  <si>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</si>
  <si>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</si>
  <si>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</si>
  <si>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</si>
  <si>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</si>
  <si>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</si>
  <si>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</si>
  <si>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</si>
  <si>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</si>
  <si>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</si>
  <si>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</si>
  <si>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</si>
  <si>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</si>
  <si>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</si>
  <si>
    <t>DayNite</t>
  </si>
  <si>
    <t>~TFM_FILL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</si>
</sst>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tabSelected="1" workbookViewId="0">
      <selection activeCell="J21" sqref="J21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18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8</v>
      </c>
      <c r="C3" s="7" t="s">
        <v>9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12</v>
      </c>
      <c r="I3" s="5" t="s">
        <v>0</v>
      </c>
    </row>
    <row r="4" spans="2:9" x14ac:dyDescent="0.25">
      <c r="B4" t="s">
        <v>10</v>
      </c>
      <c r="C4" t="s">
        <v>11</v>
      </c>
      <c r="D4" t="s">
        <v>17</v>
      </c>
      <c r="F4" t="s">
        <v>6</v>
      </c>
      <c r="G4">
        <v>2022</v>
      </c>
      <c r="H4">
        <v>2861.5612011470998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workbookViewId="0">
      <selection activeCell="J14" sqref="J14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13</v>
      </c>
      <c r="K2" t="s">
        <v>14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15</v>
      </c>
      <c r="F3" s="4" t="s">
        <v>12</v>
      </c>
      <c r="G3" s="5" t="s">
        <v>0</v>
      </c>
      <c r="J3" s="8" t="s">
        <v>12</v>
      </c>
      <c r="K3" s="8" t="s">
        <v>12</v>
      </c>
    </row>
    <row r="4" spans="1:11" x14ac:dyDescent="0.25">
      <c r="D4" t="s">
        <v>6</v>
      </c>
      <c r="E4">
        <v>2025</v>
      </c>
      <c r="F4" s="10">
        <f>BY_MELC!$H$4*(1+$K$4)^(E4-2022)</f>
        <v>3692.8738709213426</v>
      </c>
      <c r="G4" s="6" t="s">
        <v>14</v>
      </c>
      <c r="J4" s="9">
        <v>0.26498832137448636</v>
      </c>
      <c r="K4" s="11">
        <v>8.8730723400078371E-2</v>
      </c>
    </row>
    <row r="5" spans="1:11" x14ac:dyDescent="0.25">
      <c r="D5" t="s">
        <v>6</v>
      </c>
      <c r="E5">
        <v>2030</v>
      </c>
      <c r="F5" s="10">
        <f>BY_MELC!$H$4*(1+$K$4)^(E5-2022)</f>
        <v>5648.9387778083592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0">
        <f>BY_MELC!$H$4*(1+$K$4)^(E6-2022)</f>
        <v>8641.1045789293585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0">
        <f>BY_MELC!$H$4*(1+$K$4)^(E7-2022)</f>
        <v>13218.179782249905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0">
        <f>BY_MELC!$H$4*(1+$K$4)^(E8-2022)</f>
        <v>20219.669274912092</v>
      </c>
      <c r="G8" s="6" t="s">
        <v>14</v>
      </c>
    </row>
    <row r="9" spans="1:11" x14ac:dyDescent="0.25">
      <c r="D9" t="s">
        <v>6</v>
      </c>
      <c r="E9">
        <v>2050</v>
      </c>
      <c r="F9" s="10">
        <f>BY_MELC!$H$4*(1+$K$4)^(E9-2022)</f>
        <v>30929.752229261561</v>
      </c>
      <c r="G9" s="6" t="s">
        <v>14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BY_MELC</vt:lpstr>
      <vt:lpstr>IND_MELC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2025-11-07T10:38:15Z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