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5ED0F267-9874-4181-8898-890FD4ED3B06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<sst xmlns="http://schemas.openxmlformats.org/spreadsheetml/2006/main" count="926" uniqueCount="487">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</sst>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zoomScale="118" zoomScaleNormal="118" workbookViewId="0">
      <selection activeCell="M4" sqref="M4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434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486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481</v>
      </c>
      <c r="H17" s="98" t="s">
        <v>482</v>
      </c>
      <c r="I17" s="98" t="s">
        <v>483</v>
      </c>
      <c r="J17" s="98" t="s">
        <v>484</v>
      </c>
      <c r="K17" s="98" t="s">
        <v>485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11">
        <f>I58</f>
        <v>0.6339285714285714</v>
      </c>
      <c r="H20" s="311">
        <f t="shared" ref="H20:L20" si="0">J58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1414</v>
      </c>
      <c r="R20" s="106"/>
      <c r="S20" s="106">
        <v>8.76</v>
      </c>
      <c r="T20" s="106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06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R23" s="106"/>
      <c r="S23" s="106">
        <v>8.76</v>
      </c>
      <c r="T23" s="106"/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R24" s="106"/>
      <c r="S24" s="106"/>
      <c r="T24" s="106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R25" s="106"/>
      <c r="S25" s="106"/>
      <c r="T25" s="106">
        <v>0.25900000000000001</v>
      </c>
      <c r="AA25" s="96"/>
      <c r="AB25" s="96"/>
    </row>
    <row r="26" spans="2:31" s="156" customFormat="1" x14ac:dyDescent="0.2">
      <c r="B26" s="96"/>
      <c r="C26" s="157"/>
      <c r="D26" s="252"/>
      <c r="E26" s="158"/>
      <c r="F26" s="159"/>
      <c r="G26" s="159"/>
      <c r="H26" s="159"/>
      <c r="I26" s="159"/>
      <c r="J26" s="159"/>
      <c r="K26" s="159"/>
      <c r="L26" s="159"/>
      <c r="R26" s="112"/>
      <c r="S26" s="112"/>
      <c r="T26" s="112"/>
      <c r="AA26" s="96"/>
      <c r="AB26" s="96"/>
    </row>
    <row r="27" spans="2:31" s="156" customFormat="1" x14ac:dyDescent="0.2">
      <c r="B27" s="96"/>
      <c r="C27" s="157"/>
      <c r="D27" s="252"/>
      <c r="E27" s="158"/>
      <c r="F27" s="159"/>
      <c r="G27" s="159"/>
      <c r="H27" s="159"/>
      <c r="I27" s="159"/>
      <c r="J27" s="159"/>
      <c r="K27" s="159"/>
      <c r="L27" s="159"/>
      <c r="R27" s="112"/>
      <c r="S27" s="112"/>
      <c r="T27" s="112"/>
      <c r="AA27" s="96"/>
      <c r="AB27" s="96"/>
    </row>
    <row r="28" spans="2:31" s="156" customFormat="1" x14ac:dyDescent="0.2">
      <c r="W28" s="156" t="s">
        <v>438</v>
      </c>
      <c r="Y28" s="156" t="s">
        <v>437</v>
      </c>
      <c r="Z28" s="156" t="s">
        <v>436</v>
      </c>
      <c r="AA28" s="96" t="s">
        <v>161</v>
      </c>
      <c r="AB28" s="96" t="s">
        <v>153</v>
      </c>
      <c r="AC28" s="167"/>
    </row>
    <row r="29" spans="2:31" s="156" customFormat="1" x14ac:dyDescent="0.2">
      <c r="AB29" s="96"/>
    </row>
    <row r="30" spans="2:31" s="112" customFormat="1" x14ac:dyDescent="0.2">
      <c r="B30" s="160"/>
      <c r="C30" s="92"/>
      <c r="D30" s="92"/>
      <c r="E30" s="158"/>
      <c r="F30" s="159"/>
      <c r="G30" s="159"/>
      <c r="H30" s="159"/>
      <c r="I30" s="159"/>
      <c r="J30" s="159"/>
      <c r="K30" s="159"/>
      <c r="L30" s="159"/>
      <c r="M30" s="156"/>
      <c r="N30" s="156"/>
      <c r="O30" s="156"/>
      <c r="P30" s="156"/>
      <c r="Q30" s="156"/>
    </row>
    <row r="31" spans="2:31" x14ac:dyDescent="0.2">
      <c r="B31" s="160"/>
      <c r="C31" s="92"/>
      <c r="D31" s="92"/>
      <c r="E31" s="158"/>
      <c r="F31" s="159"/>
      <c r="G31" s="159"/>
      <c r="H31" s="159"/>
      <c r="I31" s="159"/>
      <c r="J31" s="159"/>
      <c r="K31" s="159"/>
      <c r="L31" s="159"/>
      <c r="M31" s="156"/>
      <c r="N31" s="156"/>
      <c r="O31" s="156"/>
      <c r="P31" s="156"/>
      <c r="Q31" s="156"/>
    </row>
    <row r="32" spans="2:31" x14ac:dyDescent="0.2">
      <c r="B32" s="160"/>
      <c r="C32" s="92"/>
      <c r="D32" s="157"/>
      <c r="E32" s="158"/>
      <c r="F32" s="159"/>
      <c r="G32" s="159"/>
      <c r="H32" s="159"/>
      <c r="I32" s="159"/>
      <c r="J32" s="159"/>
      <c r="K32" s="159"/>
      <c r="L32" s="159"/>
      <c r="M32" s="156">
        <v>2022</v>
      </c>
      <c r="N32" s="156">
        <v>2022</v>
      </c>
      <c r="O32" s="156">
        <v>2022</v>
      </c>
      <c r="P32" s="156"/>
      <c r="Q32" s="156" t="s">
        <v>444</v>
      </c>
    </row>
    <row r="33" spans="2:29" x14ac:dyDescent="0.2">
      <c r="E33" s="160" t="s">
        <v>441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3">
        <f>M33/(M33+M34)</f>
        <v>0.41136476969163155</v>
      </c>
      <c r="Q33" s="263">
        <f>M33/M$37</f>
        <v>0.24025892702523827</v>
      </c>
      <c r="AA33" s="92"/>
      <c r="AB33" s="92"/>
      <c r="AC33" s="166"/>
    </row>
    <row r="34" spans="2:29" x14ac:dyDescent="0.2">
      <c r="E34" s="160" t="s">
        <v>442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3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3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60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3">
        <f t="shared" si="2"/>
        <v>0.19821738747377715</v>
      </c>
    </row>
    <row r="36" spans="2:29" x14ac:dyDescent="0.2">
      <c r="E36" s="160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3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210</v>
      </c>
      <c r="F39" s="90" t="s">
        <v>212</v>
      </c>
      <c r="N39" s="109"/>
    </row>
    <row r="41" spans="2:29" x14ac:dyDescent="0.2">
      <c r="E41" s="90" t="s">
        <v>211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7" t="str">
        <f>DemTechs_INDF!D20</f>
        <v>CEMENTHEAT</v>
      </c>
      <c r="D45" s="92" t="str">
        <f>Y10</f>
        <v>MANHEAT</v>
      </c>
      <c r="E45" s="158"/>
      <c r="F45" s="159">
        <f>O34</f>
        <v>0.74661277027941986</v>
      </c>
      <c r="G45" s="159"/>
      <c r="H45" s="159"/>
      <c r="I45" s="159"/>
      <c r="J45" s="159"/>
      <c r="K45" s="159"/>
      <c r="L45" s="159">
        <v>0.5</v>
      </c>
      <c r="M45" s="156">
        <v>1</v>
      </c>
      <c r="N45" s="156">
        <v>1</v>
      </c>
      <c r="O45" s="156">
        <v>50</v>
      </c>
      <c r="P45" s="156"/>
      <c r="Q45" s="156"/>
      <c r="R45" s="156"/>
      <c r="S45" s="156">
        <v>8.76</v>
      </c>
    </row>
    <row r="46" spans="2:29" x14ac:dyDescent="0.2">
      <c r="B46" s="96" t="str">
        <f>Y28</f>
        <v>PHEAT</v>
      </c>
      <c r="C46" s="157" t="str">
        <f>D22</f>
        <v>MANHEAT</v>
      </c>
      <c r="D46" s="92" t="str">
        <f>Y10</f>
        <v>MANHEAT</v>
      </c>
      <c r="E46" s="158"/>
      <c r="F46" s="159">
        <f>O35</f>
        <v>0.25338722972058014</v>
      </c>
      <c r="G46" s="159"/>
      <c r="H46" s="159"/>
      <c r="I46" s="159"/>
      <c r="J46" s="159"/>
      <c r="K46" s="159"/>
      <c r="L46" s="159">
        <v>0.5</v>
      </c>
      <c r="M46" s="156">
        <v>1</v>
      </c>
      <c r="N46" s="156">
        <v>1</v>
      </c>
      <c r="O46" s="156">
        <v>50</v>
      </c>
      <c r="P46" s="156"/>
      <c r="Q46" s="156"/>
      <c r="R46" s="156"/>
      <c r="S46" s="156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9">
        <v>0</v>
      </c>
      <c r="I50" s="310"/>
    </row>
    <row r="51" spans="6:14" x14ac:dyDescent="0.2">
      <c r="G51" s="90">
        <v>0.59</v>
      </c>
      <c r="H51" s="90">
        <v>1</v>
      </c>
    </row>
    <row r="53" spans="6:14" x14ac:dyDescent="0.2">
      <c r="G53" s="160" t="s">
        <v>475</v>
      </c>
      <c r="I53" s="160" t="s">
        <v>476</v>
      </c>
    </row>
    <row r="54" spans="6:14" x14ac:dyDescent="0.2">
      <c r="G54" s="160" t="s">
        <v>479</v>
      </c>
      <c r="H54" s="90">
        <f>H49-G49</f>
        <v>28</v>
      </c>
    </row>
    <row r="55" spans="6:14" s="96" customFormat="1" x14ac:dyDescent="0.2">
      <c r="F55" s="96" t="s">
        <v>477</v>
      </c>
      <c r="G55" s="96" t="s">
        <v>480</v>
      </c>
      <c r="H55" s="158">
        <f>H50-G50</f>
        <v>-0.41</v>
      </c>
      <c r="I55" s="96">
        <f>H55/H54</f>
        <v>-1.4642857142857141E-2</v>
      </c>
    </row>
    <row r="56" spans="6:14" x14ac:dyDescent="0.2">
      <c r="F56" s="160" t="s">
        <v>478</v>
      </c>
      <c r="G56" s="160" t="s">
        <v>480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60" t="s">
        <v>478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60" t="s">
        <v>442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A29" zoomScale="226" zoomScaleNormal="226" workbookViewId="0">
      <selection activeCell="C11" sqref="C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CEMENTHEAT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2025-11-14T15:23:08Z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