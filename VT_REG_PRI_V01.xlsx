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9299545E-79C1-4FEF-903B-919E368A4C3A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143" l="1"/>
  <c r="K32" i="143"/>
  <c r="K33" i="143"/>
  <c r="K30" i="143"/>
  <c r="G39" i="143"/>
  <c r="K34" i="143"/>
  <c r="G34" i="143"/>
  <c r="M14" i="145"/>
  <c r="M13" i="145"/>
  <c r="M12" i="145"/>
  <c r="P53" i="133"/>
  <c r="P54" i="133"/>
  <c r="P55" i="133"/>
  <c r="P56" i="133"/>
  <c r="P57" i="133"/>
  <c r="P52" i="133"/>
  <c r="J31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I33" i="143"/>
  <c r="I32" i="143"/>
  <c r="I31" i="143"/>
  <c r="H33" i="143"/>
  <c r="E20" i="143"/>
  <c r="G33" i="143"/>
  <c r="G31" i="143"/>
  <c r="G32" i="143"/>
  <c r="G30" i="143"/>
  <c r="E21" i="143"/>
  <c r="E19" i="143"/>
  <c r="E22" i="143"/>
  <c r="I26" i="137"/>
  <c r="I25" i="137"/>
  <c r="I24" i="137"/>
  <c r="I23" i="137"/>
  <c r="D24" i="143"/>
  <c r="D23" i="143"/>
  <c r="D19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0" i="143"/>
  <c r="F24" i="143"/>
  <c r="H31" i="143"/>
  <c r="F23" i="143"/>
  <c r="J18" i="133"/>
  <c r="H32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8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0" i="143"/>
  <c r="C2" i="143"/>
  <c r="T7" i="143"/>
  <c r="B2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S7" i="143"/>
  <c r="B8" i="146"/>
  <c r="D40" i="133"/>
  <c r="E47" i="133"/>
  <c r="K47" i="133"/>
  <c r="D25" i="144"/>
  <c r="K17" i="144"/>
  <c r="K25" i="144"/>
  <c r="K5" i="144"/>
  <c r="K8" i="144"/>
  <c r="U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<sst xmlns="http://schemas.openxmlformats.org/spreadsheetml/2006/main" count="892" uniqueCount="470">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</sst>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6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23" fillId="3" borderId="0" xfId="23" applyFont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33</xdr:row>
      <xdr:rowOff>65943</xdr:rowOff>
    </xdr:from>
    <xdr:to>
      <xdr:col>19</xdr:col>
      <xdr:colOff>3771674</xdr:colOff>
      <xdr:row>38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1" customWidth="1"/>
    <col min="2" max="2" width="11.140625" style="171" customWidth="1"/>
    <col min="3" max="3" width="10.42578125" style="171" customWidth="1"/>
    <col min="4" max="4" width="10.5703125" style="171" customWidth="1"/>
    <col min="5" max="5" width="12.140625" style="171" customWidth="1"/>
    <col min="6" max="6" width="11.5703125" style="171" customWidth="1"/>
    <col min="7" max="7" width="14.5703125" style="171" customWidth="1"/>
    <col min="8" max="8" width="10" style="171" customWidth="1"/>
    <col min="9" max="9" width="10" style="172" customWidth="1"/>
    <col min="10" max="10" width="9" style="173" customWidth="1"/>
    <col min="11" max="11" width="8.85546875" style="171"/>
    <col min="12" max="12" width="8.85546875" style="174"/>
    <col min="13" max="13" width="10" style="173" customWidth="1"/>
    <col min="14" max="14" width="8.85546875" style="171"/>
    <col min="15" max="15" width="11" style="172" customWidth="1"/>
    <col min="16" max="17" width="10" style="173" customWidth="1"/>
    <col min="18" max="16384" width="8.85546875" style="171"/>
  </cols>
  <sheetData>
    <row r="1" spans="1:32" ht="16.5" thickBot="1" x14ac:dyDescent="0.3">
      <c r="A1" s="170" t="s">
        <v>255</v>
      </c>
      <c r="B1" s="170"/>
      <c r="C1" s="170"/>
      <c r="D1" s="170"/>
      <c r="V1" s="175" t="s">
        <v>256</v>
      </c>
    </row>
    <row r="2" spans="1:32" ht="15.75" thickBot="1" x14ac:dyDescent="0.3">
      <c r="A2" s="314" t="s">
        <v>141</v>
      </c>
      <c r="B2" s="315"/>
      <c r="C2" s="315"/>
      <c r="D2" s="315"/>
      <c r="E2" s="316"/>
      <c r="F2" s="314" t="s">
        <v>257</v>
      </c>
      <c r="G2" s="315"/>
      <c r="H2" s="315"/>
      <c r="I2" s="316"/>
      <c r="J2" s="320" t="s">
        <v>258</v>
      </c>
      <c r="K2" s="321"/>
      <c r="L2" s="321"/>
      <c r="M2" s="322"/>
      <c r="N2" s="314" t="s">
        <v>259</v>
      </c>
      <c r="O2" s="315"/>
      <c r="P2" s="315"/>
      <c r="Q2" s="315"/>
      <c r="R2" s="316"/>
      <c r="V2" s="176" t="s">
        <v>141</v>
      </c>
      <c r="W2" s="311" t="s">
        <v>260</v>
      </c>
      <c r="X2" s="312"/>
      <c r="Y2" s="312"/>
      <c r="Z2" s="312"/>
      <c r="AA2" s="313"/>
      <c r="AB2" s="311" t="s">
        <v>261</v>
      </c>
      <c r="AC2" s="312"/>
      <c r="AD2" s="312"/>
      <c r="AE2" s="312"/>
      <c r="AF2" s="313"/>
    </row>
    <row r="3" spans="1:32" ht="24.6" customHeight="1" thickBot="1" x14ac:dyDescent="0.3">
      <c r="A3" s="314" t="s">
        <v>262</v>
      </c>
      <c r="B3" s="315"/>
      <c r="C3" s="315"/>
      <c r="D3" s="315"/>
      <c r="E3" s="316"/>
      <c r="F3" s="177">
        <v>5</v>
      </c>
      <c r="G3" s="177" t="s">
        <v>263</v>
      </c>
      <c r="H3" s="177" t="s">
        <v>264</v>
      </c>
      <c r="I3" s="178">
        <v>10</v>
      </c>
      <c r="J3" s="179">
        <v>5</v>
      </c>
      <c r="K3" s="177" t="s">
        <v>263</v>
      </c>
      <c r="L3" s="180" t="s">
        <v>264</v>
      </c>
      <c r="M3" s="179">
        <v>10</v>
      </c>
      <c r="N3" s="177">
        <v>5</v>
      </c>
      <c r="O3" s="178" t="s">
        <v>263</v>
      </c>
      <c r="P3" s="179" t="s">
        <v>264</v>
      </c>
      <c r="Q3" s="179"/>
      <c r="R3" s="177">
        <v>10</v>
      </c>
      <c r="V3" s="181" t="s">
        <v>265</v>
      </c>
      <c r="W3" s="182">
        <v>2018</v>
      </c>
      <c r="X3" s="182">
        <v>2020</v>
      </c>
      <c r="Y3" s="182">
        <v>2030</v>
      </c>
      <c r="Z3" s="182">
        <v>2040</v>
      </c>
      <c r="AA3" s="182">
        <v>2050</v>
      </c>
      <c r="AB3" s="183">
        <v>2018</v>
      </c>
      <c r="AC3" s="183">
        <v>2020</v>
      </c>
      <c r="AD3" s="183">
        <v>2030</v>
      </c>
      <c r="AE3" s="183">
        <v>2040</v>
      </c>
      <c r="AF3" s="183">
        <v>2050</v>
      </c>
    </row>
    <row r="4" spans="1:32" ht="15.75" thickBot="1" x14ac:dyDescent="0.3">
      <c r="A4" s="317" t="s">
        <v>266</v>
      </c>
      <c r="B4" s="184"/>
      <c r="C4" s="184"/>
      <c r="D4" s="184"/>
      <c r="E4" s="177">
        <v>2024</v>
      </c>
      <c r="F4" s="185">
        <v>5017.1000000000004</v>
      </c>
      <c r="G4" s="185">
        <v>5269.2</v>
      </c>
      <c r="H4" s="185">
        <v>5371.7</v>
      </c>
      <c r="I4" s="186">
        <v>5527.3</v>
      </c>
      <c r="J4" s="187">
        <v>1286.0999999999999</v>
      </c>
      <c r="K4" s="185">
        <v>1355.1</v>
      </c>
      <c r="L4" s="188">
        <v>1390.7</v>
      </c>
      <c r="M4" s="187">
        <v>1716.2</v>
      </c>
      <c r="N4" s="185">
        <v>40518.9</v>
      </c>
      <c r="O4" s="186">
        <v>41362.699999999997</v>
      </c>
      <c r="P4" s="187">
        <v>41705.800000000003</v>
      </c>
      <c r="Q4" s="187"/>
      <c r="R4" s="185">
        <v>42226.3</v>
      </c>
      <c r="V4" s="181" t="s">
        <v>66</v>
      </c>
      <c r="W4" s="182">
        <v>13</v>
      </c>
      <c r="X4" s="182">
        <v>15.1</v>
      </c>
      <c r="Y4" s="182">
        <v>28.2</v>
      </c>
      <c r="Z4" s="182">
        <v>46.9</v>
      </c>
      <c r="AA4" s="182">
        <v>69.3</v>
      </c>
      <c r="AB4" s="183">
        <v>1117740</v>
      </c>
      <c r="AC4" s="183">
        <v>1298298</v>
      </c>
      <c r="AD4" s="183">
        <v>2424636</v>
      </c>
      <c r="AE4" s="183">
        <v>4032462</v>
      </c>
      <c r="AF4" s="183">
        <v>5958414</v>
      </c>
    </row>
    <row r="5" spans="1:32" ht="15.75" thickBot="1" x14ac:dyDescent="0.3">
      <c r="A5" s="318"/>
      <c r="B5" s="184"/>
      <c r="C5" s="184"/>
      <c r="D5" s="184"/>
      <c r="E5" s="177">
        <v>2028</v>
      </c>
      <c r="F5" s="185">
        <v>6144.8</v>
      </c>
      <c r="G5" s="185">
        <v>7109.3</v>
      </c>
      <c r="H5" s="185">
        <v>7527.8</v>
      </c>
      <c r="I5" s="186">
        <v>8192.7000000000007</v>
      </c>
      <c r="J5" s="187">
        <v>1594.5</v>
      </c>
      <c r="K5" s="185">
        <v>1858.3</v>
      </c>
      <c r="L5" s="188">
        <v>2103.4</v>
      </c>
      <c r="M5" s="187">
        <v>2580</v>
      </c>
      <c r="N5" s="185">
        <v>42313.8</v>
      </c>
      <c r="O5" s="186">
        <v>47520</v>
      </c>
      <c r="P5" s="187">
        <v>48920.3</v>
      </c>
      <c r="Q5" s="187"/>
      <c r="R5" s="185">
        <v>51145.3</v>
      </c>
      <c r="V5" s="181" t="s">
        <v>267</v>
      </c>
      <c r="W5" s="182">
        <v>4.5999999999999996</v>
      </c>
      <c r="X5" s="182">
        <v>6.4</v>
      </c>
      <c r="Y5" s="182">
        <v>20.6</v>
      </c>
      <c r="Z5" s="182">
        <v>40.700000000000003</v>
      </c>
      <c r="AA5" s="182">
        <v>62.5</v>
      </c>
      <c r="AB5" s="183">
        <v>395508</v>
      </c>
      <c r="AC5" s="183">
        <v>550272</v>
      </c>
      <c r="AD5" s="183">
        <v>1771188</v>
      </c>
      <c r="AE5" s="183">
        <v>3499386</v>
      </c>
      <c r="AF5" s="183">
        <v>5373750</v>
      </c>
    </row>
    <row r="6" spans="1:32" ht="15.75" thickBot="1" x14ac:dyDescent="0.3">
      <c r="A6" s="318"/>
      <c r="B6" s="184"/>
      <c r="C6" s="184"/>
      <c r="D6" s="184"/>
      <c r="E6" s="177">
        <v>2032</v>
      </c>
      <c r="F6" s="185">
        <v>7515.5</v>
      </c>
      <c r="G6" s="185">
        <v>9566.6</v>
      </c>
      <c r="H6" s="185">
        <v>10515.7</v>
      </c>
      <c r="I6" s="186">
        <v>12095.1</v>
      </c>
      <c r="J6" s="187">
        <v>1969.4</v>
      </c>
      <c r="K6" s="185">
        <v>2530.4</v>
      </c>
      <c r="L6" s="188">
        <v>3146.9</v>
      </c>
      <c r="M6" s="187">
        <v>3844.6</v>
      </c>
      <c r="N6" s="185">
        <v>44292.6</v>
      </c>
      <c r="O6" s="186">
        <v>55742.8</v>
      </c>
      <c r="P6" s="187">
        <v>58918.5</v>
      </c>
      <c r="Q6" s="187"/>
      <c r="R6" s="185">
        <v>83322.2</v>
      </c>
      <c r="V6" s="181" t="s">
        <v>64</v>
      </c>
      <c r="W6" s="182">
        <v>2.6</v>
      </c>
      <c r="X6" s="182">
        <v>3.1</v>
      </c>
      <c r="Y6" s="182">
        <v>6.6</v>
      </c>
      <c r="Z6" s="182">
        <v>12.5</v>
      </c>
      <c r="AA6" s="182">
        <v>21</v>
      </c>
      <c r="AB6" s="183">
        <v>223548</v>
      </c>
      <c r="AC6" s="183">
        <v>266538</v>
      </c>
      <c r="AD6" s="183">
        <v>567468</v>
      </c>
      <c r="AE6" s="183">
        <v>1074750</v>
      </c>
      <c r="AF6" s="183">
        <v>1805580</v>
      </c>
    </row>
    <row r="7" spans="1:32" ht="15.75" thickBot="1" x14ac:dyDescent="0.3">
      <c r="A7" s="318"/>
      <c r="B7" s="184"/>
      <c r="C7" s="184"/>
      <c r="D7" s="184"/>
      <c r="E7" s="177">
        <v>2036</v>
      </c>
      <c r="F7" s="185">
        <v>9181.7000000000007</v>
      </c>
      <c r="G7" s="185">
        <v>12848.4</v>
      </c>
      <c r="H7" s="185">
        <v>14656.6</v>
      </c>
      <c r="I7" s="186">
        <v>17808.599999999999</v>
      </c>
      <c r="J7" s="187">
        <v>2425.1</v>
      </c>
      <c r="K7" s="185">
        <v>3427.9</v>
      </c>
      <c r="L7" s="188">
        <v>4674.7</v>
      </c>
      <c r="M7" s="187">
        <v>5696.2</v>
      </c>
      <c r="N7" s="185">
        <v>46474.2</v>
      </c>
      <c r="O7" s="186">
        <v>66724.2</v>
      </c>
      <c r="P7" s="187">
        <v>72774.7</v>
      </c>
      <c r="Q7" s="187"/>
      <c r="R7" s="185">
        <v>51145.3</v>
      </c>
      <c r="V7" s="181" t="s">
        <v>268</v>
      </c>
      <c r="W7" s="182">
        <v>0.1</v>
      </c>
      <c r="X7" s="182">
        <v>0.5</v>
      </c>
      <c r="Y7" s="182">
        <v>4.4000000000000004</v>
      </c>
      <c r="Z7" s="182">
        <v>10.4</v>
      </c>
      <c r="AA7" s="182">
        <v>16.399999999999999</v>
      </c>
      <c r="AB7" s="183">
        <v>8598</v>
      </c>
      <c r="AC7" s="183">
        <v>42990</v>
      </c>
      <c r="AD7" s="183">
        <v>378312</v>
      </c>
      <c r="AE7" s="183">
        <v>894192</v>
      </c>
      <c r="AF7" s="183">
        <v>1410072</v>
      </c>
    </row>
    <row r="8" spans="1:32" ht="15.75" thickBot="1" x14ac:dyDescent="0.3">
      <c r="A8" s="318"/>
      <c r="B8" s="184"/>
      <c r="C8" s="184"/>
      <c r="D8" s="184"/>
      <c r="E8" s="177">
        <v>2040</v>
      </c>
      <c r="F8" s="185">
        <v>11207</v>
      </c>
      <c r="G8" s="185">
        <v>17231</v>
      </c>
      <c r="H8" s="185">
        <v>20395.2</v>
      </c>
      <c r="I8" s="186">
        <v>26173.8</v>
      </c>
      <c r="J8" s="187">
        <v>2980</v>
      </c>
      <c r="K8" s="185">
        <v>3427.9</v>
      </c>
      <c r="L8" s="188">
        <v>6911.6</v>
      </c>
      <c r="M8" s="187">
        <v>8407.1</v>
      </c>
      <c r="N8" s="185">
        <v>48879.4</v>
      </c>
      <c r="O8" s="186">
        <v>81389.399999999994</v>
      </c>
      <c r="P8" s="187">
        <v>91977.5</v>
      </c>
      <c r="Q8" s="187"/>
      <c r="R8" s="185">
        <v>111313.8</v>
      </c>
      <c r="V8" s="181" t="s">
        <v>69</v>
      </c>
      <c r="W8" s="182">
        <v>3.3</v>
      </c>
      <c r="X8" s="182">
        <v>3.9</v>
      </c>
      <c r="Y8" s="182">
        <v>15</v>
      </c>
      <c r="Z8" s="182">
        <v>20.399999999999999</v>
      </c>
      <c r="AA8" s="182">
        <v>24.9</v>
      </c>
      <c r="AB8" s="183">
        <v>283734</v>
      </c>
      <c r="AC8" s="183">
        <v>335322</v>
      </c>
      <c r="AD8" s="183">
        <v>1289700</v>
      </c>
      <c r="AE8" s="183">
        <v>1753992</v>
      </c>
      <c r="AF8" s="183">
        <v>2140902</v>
      </c>
    </row>
    <row r="9" spans="1:32" ht="15.75" thickBot="1" x14ac:dyDescent="0.3">
      <c r="A9" s="318"/>
      <c r="B9" s="184"/>
      <c r="C9" s="184"/>
      <c r="D9" s="184"/>
      <c r="E9" s="177">
        <v>2044</v>
      </c>
      <c r="F9" s="185">
        <v>13668.6</v>
      </c>
      <c r="G9" s="185">
        <v>23083.9</v>
      </c>
      <c r="H9" s="185">
        <v>28348.2</v>
      </c>
      <c r="I9" s="186">
        <v>38421.300000000003</v>
      </c>
      <c r="J9" s="187">
        <v>3652.2</v>
      </c>
      <c r="K9" s="185">
        <v>4626.5</v>
      </c>
      <c r="L9" s="188">
        <v>10186.5</v>
      </c>
      <c r="M9" s="187">
        <v>12376.2</v>
      </c>
      <c r="N9" s="185">
        <v>51531.199999999997</v>
      </c>
      <c r="O9" s="186">
        <v>100974.39999999999</v>
      </c>
      <c r="P9" s="187">
        <v>118589.8</v>
      </c>
      <c r="Q9" s="187"/>
      <c r="R9" s="185">
        <v>152296.29999999999</v>
      </c>
      <c r="V9" s="181" t="s">
        <v>269</v>
      </c>
      <c r="W9" s="182">
        <v>1.5</v>
      </c>
      <c r="X9" s="182">
        <v>4.5</v>
      </c>
      <c r="Y9" s="182">
        <v>13.8</v>
      </c>
      <c r="Z9" s="182">
        <v>32</v>
      </c>
      <c r="AA9" s="182">
        <v>35.299999999999997</v>
      </c>
      <c r="AB9" s="183">
        <v>128970</v>
      </c>
      <c r="AC9" s="183">
        <v>386910</v>
      </c>
      <c r="AD9" s="183">
        <v>1186524</v>
      </c>
      <c r="AE9" s="183">
        <v>2751360</v>
      </c>
      <c r="AF9" s="183">
        <v>3035094</v>
      </c>
    </row>
    <row r="10" spans="1:32" ht="15.75" thickBot="1" x14ac:dyDescent="0.3">
      <c r="A10" s="318"/>
      <c r="B10" s="184"/>
      <c r="C10" s="184"/>
      <c r="D10" s="184"/>
      <c r="E10" s="177">
        <v>2048</v>
      </c>
      <c r="F10" s="185">
        <v>16660.8</v>
      </c>
      <c r="G10" s="185">
        <v>30900.3</v>
      </c>
      <c r="H10" s="185">
        <v>39369.9</v>
      </c>
      <c r="I10" s="186">
        <v>56352.800000000003</v>
      </c>
      <c r="J10" s="187">
        <v>4470.5</v>
      </c>
      <c r="K10" s="185">
        <v>6227.2</v>
      </c>
      <c r="L10" s="188">
        <v>14981.4</v>
      </c>
      <c r="M10" s="187">
        <v>18187.3</v>
      </c>
      <c r="N10" s="185">
        <v>54454.7</v>
      </c>
      <c r="O10" s="186">
        <v>127129.60000000001</v>
      </c>
      <c r="P10" s="187">
        <v>155470.6</v>
      </c>
      <c r="Q10" s="187"/>
      <c r="R10" s="185">
        <v>212298.8</v>
      </c>
      <c r="V10" s="181" t="s">
        <v>48</v>
      </c>
      <c r="W10" s="182">
        <v>25.1</v>
      </c>
      <c r="X10" s="182">
        <v>33.5</v>
      </c>
      <c r="Y10" s="182">
        <v>88.6</v>
      </c>
      <c r="Z10" s="182">
        <v>162.9</v>
      </c>
      <c r="AA10" s="182">
        <v>229.4</v>
      </c>
      <c r="AB10" s="183">
        <v>2158098</v>
      </c>
      <c r="AC10" s="183">
        <v>2880330</v>
      </c>
      <c r="AD10" s="183">
        <v>7617828</v>
      </c>
      <c r="AE10" s="183">
        <v>14006142</v>
      </c>
      <c r="AF10" s="183">
        <v>19723812</v>
      </c>
    </row>
    <row r="11" spans="1:32" ht="15.75" thickBot="1" x14ac:dyDescent="0.3">
      <c r="A11" s="319"/>
      <c r="B11" s="177"/>
      <c r="C11" s="177"/>
      <c r="D11" s="177"/>
      <c r="E11" s="177">
        <v>2052</v>
      </c>
      <c r="F11" s="185">
        <v>20297.900000000001</v>
      </c>
      <c r="G11" s="185">
        <v>41338.800000000003</v>
      </c>
      <c r="H11" s="185">
        <v>54644.4</v>
      </c>
      <c r="I11" s="186">
        <v>82606.3</v>
      </c>
      <c r="J11" s="187">
        <v>5465.2</v>
      </c>
      <c r="K11" s="185">
        <v>11219.6</v>
      </c>
      <c r="L11" s="188">
        <v>22001.5</v>
      </c>
      <c r="M11" s="187">
        <v>26695.3</v>
      </c>
      <c r="N11" s="185">
        <v>57678</v>
      </c>
      <c r="O11" s="186">
        <v>162059</v>
      </c>
      <c r="P11" s="187">
        <v>206582.3</v>
      </c>
      <c r="Q11" s="187"/>
      <c r="R11" s="185">
        <v>300148.40000000002</v>
      </c>
    </row>
    <row r="12" spans="1:32" ht="15.75" thickBot="1" x14ac:dyDescent="0.3">
      <c r="A12" s="317" t="s">
        <v>270</v>
      </c>
      <c r="B12" s="184"/>
      <c r="C12" s="184"/>
      <c r="D12" s="184"/>
      <c r="E12" s="182">
        <v>2024</v>
      </c>
      <c r="F12" s="189">
        <v>210094.2</v>
      </c>
      <c r="G12" s="189">
        <v>220653.7</v>
      </c>
      <c r="H12" s="189">
        <v>224946.8</v>
      </c>
      <c r="I12" s="190">
        <v>231461.1</v>
      </c>
      <c r="J12" s="191">
        <v>53857.2</v>
      </c>
      <c r="K12" s="189">
        <v>56745</v>
      </c>
      <c r="L12" s="192">
        <v>58237</v>
      </c>
      <c r="M12" s="191">
        <v>71866.8</v>
      </c>
      <c r="N12" s="189">
        <v>1696773</v>
      </c>
      <c r="O12" s="190">
        <v>1732105.9</v>
      </c>
      <c r="P12" s="191">
        <v>1746472.4</v>
      </c>
      <c r="Q12" s="191"/>
      <c r="R12" s="189">
        <v>1768270.5</v>
      </c>
    </row>
    <row r="13" spans="1:32" ht="15.75" thickBot="1" x14ac:dyDescent="0.3">
      <c r="A13" s="318"/>
      <c r="B13" s="184"/>
      <c r="C13" s="184"/>
      <c r="D13" s="184"/>
      <c r="E13" s="182">
        <v>2028</v>
      </c>
      <c r="F13" s="189">
        <v>257319.1</v>
      </c>
      <c r="G13" s="189">
        <v>297708.5</v>
      </c>
      <c r="H13" s="189">
        <v>315232.40000000002</v>
      </c>
      <c r="I13" s="190">
        <v>343077.9</v>
      </c>
      <c r="J13" s="191">
        <v>66772.600000000006</v>
      </c>
      <c r="K13" s="189">
        <v>77818.7</v>
      </c>
      <c r="L13" s="192">
        <v>88082.9</v>
      </c>
      <c r="M13" s="191">
        <v>108038.5</v>
      </c>
      <c r="N13" s="189">
        <v>1771933</v>
      </c>
      <c r="O13" s="190">
        <v>1989948.1</v>
      </c>
      <c r="P13" s="191">
        <v>2048587.1</v>
      </c>
      <c r="Q13" s="191"/>
      <c r="R13" s="189">
        <v>2141762.6</v>
      </c>
    </row>
    <row r="14" spans="1:32" ht="15.75" thickBot="1" x14ac:dyDescent="0.3">
      <c r="A14" s="318"/>
      <c r="B14" s="184"/>
      <c r="C14" s="184"/>
      <c r="D14" s="184"/>
      <c r="E14" s="182">
        <v>2032</v>
      </c>
      <c r="F14" s="189">
        <v>314721.09999999998</v>
      </c>
      <c r="G14" s="189">
        <v>400613.1</v>
      </c>
      <c r="H14" s="189">
        <v>440355.9</v>
      </c>
      <c r="I14" s="190">
        <v>506495.4</v>
      </c>
      <c r="J14" s="191">
        <v>82471.5</v>
      </c>
      <c r="K14" s="189">
        <v>105961.9</v>
      </c>
      <c r="L14" s="192">
        <v>131780.6</v>
      </c>
      <c r="M14" s="191">
        <v>160997.5</v>
      </c>
      <c r="N14" s="189">
        <v>1854796.9</v>
      </c>
      <c r="O14" s="190">
        <v>2334288.1</v>
      </c>
      <c r="P14" s="191">
        <v>2467275.1</v>
      </c>
      <c r="Q14" s="191"/>
      <c r="R14" s="189">
        <v>3489204.8</v>
      </c>
    </row>
    <row r="15" spans="1:32" ht="15.75" thickBot="1" x14ac:dyDescent="0.3">
      <c r="A15" s="318"/>
      <c r="B15" s="184"/>
      <c r="C15" s="184"/>
      <c r="D15" s="184"/>
      <c r="E15" s="182">
        <v>2036</v>
      </c>
      <c r="F15" s="189">
        <v>384493.7</v>
      </c>
      <c r="G15" s="189">
        <v>538038.9</v>
      </c>
      <c r="H15" s="189">
        <v>613759.19999999995</v>
      </c>
      <c r="I15" s="190">
        <v>745755.4</v>
      </c>
      <c r="J15" s="191">
        <v>101553.2</v>
      </c>
      <c r="K15" s="189">
        <v>143545.60000000001</v>
      </c>
      <c r="L15" s="192">
        <v>195758.8</v>
      </c>
      <c r="M15" s="191">
        <v>238534.8</v>
      </c>
      <c r="N15" s="189">
        <v>1946154.1</v>
      </c>
      <c r="O15" s="190">
        <v>2794143.6</v>
      </c>
      <c r="P15" s="191">
        <v>3047518.4</v>
      </c>
      <c r="Q15" s="191"/>
      <c r="R15" s="189">
        <v>2141762.6</v>
      </c>
    </row>
    <row r="16" spans="1:32" ht="15.75" thickBot="1" x14ac:dyDescent="0.3">
      <c r="A16" s="318"/>
      <c r="B16" s="184"/>
      <c r="C16" s="184"/>
      <c r="D16" s="184"/>
      <c r="E16" s="182">
        <v>2040</v>
      </c>
      <c r="F16" s="189">
        <v>469302.8</v>
      </c>
      <c r="G16" s="189">
        <v>721567.4</v>
      </c>
      <c r="H16" s="189">
        <v>854071.6</v>
      </c>
      <c r="I16" s="190">
        <v>1096055.7</v>
      </c>
      <c r="J16" s="191">
        <v>124789.4</v>
      </c>
      <c r="K16" s="189">
        <v>143545.60000000001</v>
      </c>
      <c r="L16" s="192">
        <v>289428.8</v>
      </c>
      <c r="M16" s="191">
        <v>352057.4</v>
      </c>
      <c r="N16" s="189">
        <v>2046875.6</v>
      </c>
      <c r="O16" s="190">
        <v>3408266.3</v>
      </c>
      <c r="P16" s="191">
        <v>3851652.8</v>
      </c>
      <c r="Q16" s="191"/>
      <c r="R16" s="189">
        <v>4661382.3</v>
      </c>
    </row>
    <row r="17" spans="1:24" ht="15.75" thickBot="1" x14ac:dyDescent="0.3">
      <c r="A17" s="318"/>
      <c r="B17" s="184"/>
      <c r="C17" s="184"/>
      <c r="D17" s="184"/>
      <c r="E17" s="182">
        <v>2044</v>
      </c>
      <c r="F17" s="189">
        <v>572388.19999999995</v>
      </c>
      <c r="G17" s="189">
        <v>966663.3</v>
      </c>
      <c r="H17" s="189">
        <v>1187110.6000000001</v>
      </c>
      <c r="I17" s="190">
        <v>1608930.5</v>
      </c>
      <c r="J17" s="191">
        <v>152939.70000000001</v>
      </c>
      <c r="K17" s="189">
        <v>193738.3</v>
      </c>
      <c r="L17" s="192">
        <v>426570.8</v>
      </c>
      <c r="M17" s="191">
        <v>518265.5</v>
      </c>
      <c r="N17" s="189">
        <v>2157921.2999999998</v>
      </c>
      <c r="O17" s="190">
        <v>4228408.7</v>
      </c>
      <c r="P17" s="191">
        <v>4966069.9000000004</v>
      </c>
      <c r="Q17" s="191"/>
      <c r="R17" s="189">
        <v>6377567</v>
      </c>
    </row>
    <row r="18" spans="1:24" ht="15.75" thickBot="1" x14ac:dyDescent="0.3">
      <c r="A18" s="318"/>
      <c r="B18" s="184"/>
      <c r="C18" s="184"/>
      <c r="D18" s="184"/>
      <c r="E18" s="182">
        <v>2048</v>
      </c>
      <c r="F18" s="189">
        <v>697689.7</v>
      </c>
      <c r="G18" s="189">
        <v>1293981.6000000001</v>
      </c>
      <c r="H18" s="189">
        <v>1648655.4</v>
      </c>
      <c r="I18" s="190">
        <v>2359830.7999999998</v>
      </c>
      <c r="J18" s="191">
        <v>187208.1</v>
      </c>
      <c r="K18" s="189">
        <v>260768.8</v>
      </c>
      <c r="L18" s="192">
        <v>627361</v>
      </c>
      <c r="M18" s="191">
        <v>761611</v>
      </c>
      <c r="N18" s="189">
        <v>2280348.7999999998</v>
      </c>
      <c r="O18" s="190">
        <v>5323683</v>
      </c>
      <c r="P18" s="191">
        <v>6510494.5999999996</v>
      </c>
      <c r="Q18" s="191"/>
      <c r="R18" s="189">
        <v>8890233.1999999993</v>
      </c>
    </row>
    <row r="19" spans="1:24" ht="15.75" thickBot="1" x14ac:dyDescent="0.3">
      <c r="A19" s="319"/>
      <c r="B19" s="177"/>
      <c r="C19" s="177"/>
      <c r="D19" s="177"/>
      <c r="E19" s="182">
        <v>2052</v>
      </c>
      <c r="F19" s="189">
        <v>849994.6</v>
      </c>
      <c r="G19" s="189">
        <v>1731105.1</v>
      </c>
      <c r="H19" s="189">
        <v>2288291.5</v>
      </c>
      <c r="I19" s="190">
        <v>3459223.2</v>
      </c>
      <c r="J19" s="191">
        <v>228861.4</v>
      </c>
      <c r="K19" s="189">
        <v>469833.3</v>
      </c>
      <c r="L19" s="192">
        <v>921337.5</v>
      </c>
      <c r="M19" s="191">
        <v>1117893.2</v>
      </c>
      <c r="N19" s="189">
        <v>2415325.4</v>
      </c>
      <c r="O19" s="190">
        <v>6786388.2000000002</v>
      </c>
      <c r="P19" s="191">
        <v>8650848.8000000007</v>
      </c>
      <c r="Q19" s="191"/>
      <c r="R19" s="189">
        <v>12569028.1</v>
      </c>
    </row>
    <row r="23" spans="1:24" x14ac:dyDescent="0.25">
      <c r="B23" s="193" t="s">
        <v>271</v>
      </c>
      <c r="C23" s="193"/>
      <c r="D23" s="193"/>
      <c r="E23" s="193" t="s">
        <v>272</v>
      </c>
      <c r="F23" s="193"/>
      <c r="G23" s="171" t="s">
        <v>273</v>
      </c>
    </row>
    <row r="24" spans="1:24" x14ac:dyDescent="0.25">
      <c r="B24" s="171">
        <v>2019</v>
      </c>
      <c r="C24" s="171">
        <v>2020</v>
      </c>
      <c r="D24" s="171">
        <v>2021</v>
      </c>
      <c r="E24" s="171">
        <v>2022</v>
      </c>
      <c r="F24" s="171">
        <v>2023</v>
      </c>
      <c r="G24" s="171">
        <v>2024</v>
      </c>
      <c r="H24" s="171">
        <v>2025</v>
      </c>
      <c r="I24" s="172">
        <v>2028</v>
      </c>
      <c r="J24" s="173">
        <v>2030</v>
      </c>
      <c r="K24" s="171">
        <v>2032</v>
      </c>
      <c r="L24" s="174">
        <v>2036</v>
      </c>
      <c r="M24" s="173">
        <v>2040</v>
      </c>
      <c r="N24" s="171">
        <v>2044</v>
      </c>
      <c r="O24" s="172">
        <v>2048</v>
      </c>
      <c r="P24" s="173">
        <v>2050</v>
      </c>
      <c r="R24" s="171">
        <v>2052</v>
      </c>
    </row>
    <row r="25" spans="1:24" s="6" customFormat="1" x14ac:dyDescent="0.25">
      <c r="A25" s="6" t="s">
        <v>274</v>
      </c>
      <c r="B25" s="194">
        <f>B49+B50+B51+B52</f>
        <v>70483.322</v>
      </c>
      <c r="C25" s="194">
        <f t="shared" ref="C25:F25" si="0">C49+C50+C51+C52</f>
        <v>62800.626000000004</v>
      </c>
      <c r="D25" s="194">
        <f t="shared" si="0"/>
        <v>70146.457999999999</v>
      </c>
      <c r="E25" s="194">
        <f t="shared" si="0"/>
        <v>79469.299999999988</v>
      </c>
      <c r="F25" s="194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275</v>
      </c>
      <c r="X25" s="6" t="s">
        <v>276</v>
      </c>
    </row>
    <row r="26" spans="1:24" s="195" customFormat="1" x14ac:dyDescent="0.25">
      <c r="A26" s="195" t="s">
        <v>277</v>
      </c>
      <c r="B26" s="196">
        <f>B49</f>
        <v>10576.44</v>
      </c>
      <c r="C26" s="196">
        <f t="shared" ref="C26:F26" si="1">C49</f>
        <v>9209.482</v>
      </c>
      <c r="D26" s="196">
        <f t="shared" si="1"/>
        <v>10167.26</v>
      </c>
      <c r="E26" s="196">
        <f t="shared" si="1"/>
        <v>10843.81</v>
      </c>
      <c r="F26" s="196">
        <f t="shared" si="1"/>
        <v>13036.67</v>
      </c>
      <c r="J26" s="195">
        <f>Y4*1000</f>
        <v>28200</v>
      </c>
      <c r="M26" s="195">
        <f>Z4*1000</f>
        <v>46900</v>
      </c>
      <c r="P26" s="195">
        <f>AA4*1000</f>
        <v>69300</v>
      </c>
      <c r="S26" s="195" t="s">
        <v>278</v>
      </c>
    </row>
    <row r="27" spans="1:24" x14ac:dyDescent="0.25">
      <c r="A27" s="171" t="s">
        <v>279</v>
      </c>
      <c r="E27" s="171">
        <f>(E50+E52+E51)*0.2777778</f>
        <v>19062.637636122003</v>
      </c>
    </row>
    <row r="28" spans="1:24" s="197" customFormat="1" x14ac:dyDescent="0.25">
      <c r="A28" s="197" t="s">
        <v>280</v>
      </c>
      <c r="E28" s="198">
        <f>E26/E25</f>
        <v>0.1364528188872936</v>
      </c>
      <c r="O28" s="198">
        <f>O26/O25</f>
        <v>0</v>
      </c>
    </row>
    <row r="29" spans="1:24" x14ac:dyDescent="0.25">
      <c r="A29" s="171" t="s">
        <v>281</v>
      </c>
      <c r="E29" s="199">
        <f>1-E28</f>
        <v>0.86354718111270645</v>
      </c>
      <c r="O29" s="200">
        <f>1-O28</f>
        <v>1</v>
      </c>
    </row>
    <row r="30" spans="1:24" s="201" customFormat="1" x14ac:dyDescent="0.25">
      <c r="A30" s="201" t="s">
        <v>282</v>
      </c>
      <c r="E30" s="202"/>
      <c r="I30" s="172"/>
      <c r="J30" s="173"/>
      <c r="L30" s="174"/>
      <c r="M30" s="173"/>
      <c r="O30" s="200">
        <f>(O25-E25)/E25</f>
        <v>1.1924652916283398</v>
      </c>
      <c r="P30" s="173"/>
      <c r="Q30" s="173"/>
    </row>
    <row r="31" spans="1:24" x14ac:dyDescent="0.25">
      <c r="A31" s="171" t="s">
        <v>283</v>
      </c>
      <c r="E31" s="199"/>
      <c r="O31" s="200">
        <f>(O26-E26)/E26</f>
        <v>-1</v>
      </c>
    </row>
    <row r="32" spans="1:24" s="201" customFormat="1" x14ac:dyDescent="0.25">
      <c r="A32" s="201" t="s">
        <v>284</v>
      </c>
      <c r="E32" s="202"/>
      <c r="I32" s="172"/>
      <c r="J32" s="173"/>
      <c r="L32" s="174"/>
      <c r="M32" s="173"/>
      <c r="O32" s="200">
        <f>((O27-E27)/E27)</f>
        <v>-1</v>
      </c>
      <c r="P32" s="173"/>
      <c r="Q32" s="173"/>
    </row>
    <row r="33" spans="1:20" x14ac:dyDescent="0.25">
      <c r="E33" s="199"/>
      <c r="O33" s="200"/>
    </row>
    <row r="34" spans="1:20" x14ac:dyDescent="0.25">
      <c r="E34" s="199"/>
      <c r="O34" s="200"/>
    </row>
    <row r="35" spans="1:20" x14ac:dyDescent="0.25">
      <c r="E35" s="199"/>
      <c r="O35" s="200"/>
    </row>
    <row r="36" spans="1:20" x14ac:dyDescent="0.25">
      <c r="E36" s="199"/>
      <c r="O36" s="200"/>
    </row>
    <row r="37" spans="1:20" s="203" customFormat="1" x14ac:dyDescent="0.25">
      <c r="A37" s="203" t="s">
        <v>157</v>
      </c>
      <c r="I37" s="172"/>
      <c r="J37" s="173"/>
      <c r="L37" s="174"/>
      <c r="M37" s="173"/>
      <c r="O37" s="172"/>
      <c r="P37" s="173"/>
      <c r="Q37" s="173"/>
    </row>
    <row r="38" spans="1:20" s="204" customFormat="1" x14ac:dyDescent="0.25">
      <c r="A38" s="204" t="s">
        <v>285</v>
      </c>
      <c r="E38" s="204">
        <f>10301.62*0.2777778</f>
        <v>2861.5613400360003</v>
      </c>
      <c r="F38" s="205">
        <f>28990435.88*0.2777778</f>
        <v>8052899.4997874638</v>
      </c>
      <c r="I38" s="172"/>
      <c r="J38" s="173"/>
      <c r="L38" s="174"/>
      <c r="M38" s="173"/>
      <c r="O38" s="172"/>
      <c r="P38" s="206"/>
      <c r="Q38" s="206"/>
      <c r="T38" s="204" t="s">
        <v>286</v>
      </c>
    </row>
    <row r="39" spans="1:20" s="203" customFormat="1" x14ac:dyDescent="0.25">
      <c r="A39" s="203" t="s">
        <v>287</v>
      </c>
      <c r="E39" s="203">
        <f>(E56+E57+E58)*0.2777778</f>
        <v>10281.181933605601</v>
      </c>
      <c r="F39" s="207"/>
      <c r="I39" s="172"/>
      <c r="J39" s="173"/>
      <c r="L39" s="174"/>
      <c r="M39" s="173"/>
      <c r="O39" s="172"/>
      <c r="P39" s="206"/>
      <c r="Q39" s="206"/>
      <c r="R39" s="207">
        <f>(O39-E39)/E39</f>
        <v>-1</v>
      </c>
      <c r="T39" s="203" t="s">
        <v>288</v>
      </c>
    </row>
    <row r="40" spans="1:20" s="203" customFormat="1" x14ac:dyDescent="0.25">
      <c r="A40" s="203" t="s">
        <v>156</v>
      </c>
      <c r="E40" s="203">
        <f>E56*0.2777778</f>
        <v>2605.1202084096003</v>
      </c>
      <c r="F40" s="207"/>
      <c r="I40" s="172"/>
      <c r="J40" s="173"/>
      <c r="L40" s="174"/>
      <c r="M40" s="173"/>
      <c r="O40" s="172"/>
      <c r="P40" s="173"/>
      <c r="Q40" s="173"/>
      <c r="R40" s="207"/>
      <c r="T40" s="203" t="s">
        <v>289</v>
      </c>
    </row>
    <row r="41" spans="1:20" s="203" customFormat="1" x14ac:dyDescent="0.25">
      <c r="A41" s="203" t="s">
        <v>290</v>
      </c>
      <c r="E41" s="203">
        <f>E57*0.2777778</f>
        <v>4518.4003614720004</v>
      </c>
      <c r="F41" s="207"/>
      <c r="I41" s="172"/>
      <c r="J41" s="173"/>
      <c r="L41" s="174"/>
      <c r="M41" s="173"/>
      <c r="O41" s="172"/>
      <c r="P41" s="173"/>
      <c r="Q41" s="173"/>
      <c r="R41" s="207"/>
      <c r="T41" s="203" t="s">
        <v>291</v>
      </c>
    </row>
    <row r="42" spans="1:20" s="203" customFormat="1" x14ac:dyDescent="0.25">
      <c r="A42" s="203" t="s">
        <v>292</v>
      </c>
      <c r="E42" s="203">
        <f>E58*0.2777778</f>
        <v>3157.6613637240002</v>
      </c>
      <c r="F42" s="207"/>
      <c r="I42" s="172"/>
      <c r="J42" s="173"/>
      <c r="L42" s="174"/>
      <c r="M42" s="173"/>
      <c r="O42" s="172"/>
      <c r="P42" s="173"/>
      <c r="Q42" s="173"/>
      <c r="R42" s="207"/>
    </row>
    <row r="43" spans="1:20" s="203" customFormat="1" x14ac:dyDescent="0.25">
      <c r="A43" s="203" t="s">
        <v>293</v>
      </c>
      <c r="E43" s="203">
        <f>E41+E42</f>
        <v>7676.0617251960011</v>
      </c>
      <c r="F43" s="208">
        <f>29343.096*0.2777778</f>
        <v>8150.8606520688008</v>
      </c>
      <c r="G43" s="203">
        <f>E43/0.2777778</f>
        <v>27633.820000000003</v>
      </c>
      <c r="I43" s="172"/>
      <c r="J43" s="173"/>
      <c r="L43" s="174"/>
      <c r="M43" s="173"/>
      <c r="O43" s="172"/>
      <c r="P43" s="173"/>
      <c r="Q43" s="173"/>
      <c r="R43" s="207"/>
    </row>
    <row r="44" spans="1:20" s="203" customFormat="1" x14ac:dyDescent="0.25">
      <c r="I44" s="172"/>
      <c r="J44" s="173"/>
      <c r="L44" s="174"/>
      <c r="M44" s="173"/>
      <c r="O44" s="172"/>
      <c r="P44" s="173"/>
      <c r="Q44" s="173"/>
      <c r="R44" s="207"/>
    </row>
    <row r="45" spans="1:20" x14ac:dyDescent="0.25">
      <c r="A45" s="171" t="s">
        <v>294</v>
      </c>
      <c r="E45" s="209">
        <f>E39/(E38+E39)</f>
        <v>0.78227062033730832</v>
      </c>
    </row>
    <row r="46" spans="1:20" x14ac:dyDescent="0.25">
      <c r="A46" s="171" t="s">
        <v>295</v>
      </c>
      <c r="E46" s="199">
        <f>E38/(E38+E39)</f>
        <v>0.21772937966269174</v>
      </c>
    </row>
    <row r="47" spans="1:20" x14ac:dyDescent="0.25">
      <c r="A47" s="203" t="s">
        <v>296</v>
      </c>
      <c r="B47" s="203"/>
      <c r="C47" s="203"/>
      <c r="D47" s="203"/>
      <c r="O47" s="200">
        <f>(O38-E38)/E38</f>
        <v>-1</v>
      </c>
    </row>
    <row r="48" spans="1:20" s="210" customFormat="1" x14ac:dyDescent="0.25">
      <c r="A48" s="210" t="s">
        <v>96</v>
      </c>
      <c r="B48" s="210">
        <f>B24</f>
        <v>2019</v>
      </c>
      <c r="C48" s="210">
        <f t="shared" ref="C48:R48" si="2">C24</f>
        <v>2020</v>
      </c>
      <c r="D48" s="210">
        <f t="shared" si="2"/>
        <v>2021</v>
      </c>
      <c r="E48" s="210">
        <f t="shared" si="2"/>
        <v>2022</v>
      </c>
      <c r="F48" s="210">
        <f t="shared" si="2"/>
        <v>2023</v>
      </c>
      <c r="G48" s="210">
        <f t="shared" si="2"/>
        <v>2024</v>
      </c>
      <c r="H48" s="210">
        <f t="shared" si="2"/>
        <v>2025</v>
      </c>
      <c r="I48" s="210">
        <f t="shared" si="2"/>
        <v>2028</v>
      </c>
      <c r="J48" s="210">
        <f t="shared" si="2"/>
        <v>2030</v>
      </c>
      <c r="K48" s="210">
        <f t="shared" si="2"/>
        <v>2032</v>
      </c>
      <c r="L48" s="210">
        <f t="shared" si="2"/>
        <v>2036</v>
      </c>
      <c r="M48" s="210">
        <f t="shared" si="2"/>
        <v>2040</v>
      </c>
      <c r="N48" s="210">
        <f t="shared" si="2"/>
        <v>2044</v>
      </c>
      <c r="O48" s="210">
        <f t="shared" si="2"/>
        <v>2048</v>
      </c>
      <c r="P48" s="210">
        <f t="shared" si="2"/>
        <v>2050</v>
      </c>
      <c r="R48" s="210">
        <f t="shared" si="2"/>
        <v>2052</v>
      </c>
    </row>
    <row r="49" spans="1:17" x14ac:dyDescent="0.25">
      <c r="A49" s="171" t="s">
        <v>297</v>
      </c>
      <c r="B49" s="211">
        <v>10576.44</v>
      </c>
      <c r="C49" s="211">
        <v>9209.482</v>
      </c>
      <c r="D49" s="211">
        <v>10167.26</v>
      </c>
      <c r="E49" s="211">
        <v>10843.81</v>
      </c>
      <c r="F49" s="211">
        <v>13036.67</v>
      </c>
    </row>
    <row r="50" spans="1:17" x14ac:dyDescent="0.25">
      <c r="A50" s="171" t="s">
        <v>298</v>
      </c>
      <c r="B50" s="211">
        <v>15875.22</v>
      </c>
      <c r="C50" s="211">
        <v>8280.7870000000003</v>
      </c>
      <c r="D50" s="211">
        <v>11261.34</v>
      </c>
      <c r="E50" s="211">
        <f>E58</f>
        <v>11367.58</v>
      </c>
      <c r="F50" s="211">
        <v>11367.58</v>
      </c>
    </row>
    <row r="51" spans="1:17" x14ac:dyDescent="0.25">
      <c r="A51" s="171" t="s">
        <v>299</v>
      </c>
      <c r="B51" s="211">
        <v>136.322</v>
      </c>
      <c r="C51" s="211">
        <v>5783.4470000000001</v>
      </c>
      <c r="D51" s="211">
        <v>6232.6379999999999</v>
      </c>
      <c r="E51" s="211">
        <f>E57</f>
        <v>16266.24</v>
      </c>
      <c r="F51" s="211">
        <v>17976.259999999998</v>
      </c>
    </row>
    <row r="52" spans="1:17" x14ac:dyDescent="0.25">
      <c r="A52" s="171" t="s">
        <v>300</v>
      </c>
      <c r="B52" s="211">
        <v>43895.34</v>
      </c>
      <c r="C52" s="211">
        <v>39526.910000000003</v>
      </c>
      <c r="D52" s="211">
        <v>42485.22</v>
      </c>
      <c r="E52" s="211">
        <v>40991.67</v>
      </c>
      <c r="F52" s="211">
        <v>40126.410000000003</v>
      </c>
    </row>
    <row r="53" spans="1:17" x14ac:dyDescent="0.25">
      <c r="A53" s="171" t="s">
        <v>301</v>
      </c>
      <c r="B53" s="211">
        <f>SUM(B49:B52)</f>
        <v>70483.322</v>
      </c>
      <c r="C53" s="211">
        <f t="shared" ref="C53:F53" si="3">SUM(C49:C52)</f>
        <v>62800.626000000004</v>
      </c>
      <c r="D53" s="211">
        <f t="shared" si="3"/>
        <v>70146.457999999999</v>
      </c>
      <c r="E53" s="211">
        <f t="shared" si="3"/>
        <v>79469.299999999988</v>
      </c>
      <c r="F53" s="211">
        <f t="shared" si="3"/>
        <v>82506.92</v>
      </c>
    </row>
    <row r="54" spans="1:17" x14ac:dyDescent="0.25">
      <c r="B54" s="211"/>
      <c r="C54" s="211"/>
      <c r="D54" s="211"/>
      <c r="E54" s="211"/>
      <c r="F54" s="211"/>
    </row>
    <row r="55" spans="1:17" x14ac:dyDescent="0.25">
      <c r="A55" s="171" t="s">
        <v>302</v>
      </c>
      <c r="B55" s="211">
        <f>0.95*B49</f>
        <v>10047.618</v>
      </c>
      <c r="C55" s="211">
        <f>C49*0.95</f>
        <v>8749.0078999999987</v>
      </c>
      <c r="D55" s="211">
        <f>0.95*D49</f>
        <v>9658.896999999999</v>
      </c>
      <c r="E55" s="211">
        <f>E49*0.95</f>
        <v>10301.619499999999</v>
      </c>
      <c r="F55" s="211">
        <f>0.95*F49</f>
        <v>12384.836499999999</v>
      </c>
    </row>
    <row r="56" spans="1:17" x14ac:dyDescent="0.25">
      <c r="A56" s="171" t="s">
        <v>303</v>
      </c>
      <c r="B56" s="211">
        <v>9120.0020000000004</v>
      </c>
      <c r="C56" s="211">
        <f>9065.598</f>
        <v>9065.598</v>
      </c>
      <c r="D56" s="211">
        <v>9113.6</v>
      </c>
      <c r="E56" s="211">
        <f>9378.432</f>
        <v>9378.4320000000007</v>
      </c>
      <c r="F56" s="211">
        <v>10051.008</v>
      </c>
    </row>
    <row r="57" spans="1:17" x14ac:dyDescent="0.25">
      <c r="A57" s="171" t="s">
        <v>304</v>
      </c>
      <c r="B57" s="211">
        <f>B51</f>
        <v>136.322</v>
      </c>
      <c r="C57" s="211">
        <f>C51</f>
        <v>5783.4470000000001</v>
      </c>
      <c r="D57" s="211">
        <f>D51</f>
        <v>6232.6379999999999</v>
      </c>
      <c r="E57" s="211">
        <v>16266.24</v>
      </c>
      <c r="F57" s="211">
        <f>F51</f>
        <v>17976.259999999998</v>
      </c>
    </row>
    <row r="58" spans="1:17" x14ac:dyDescent="0.25">
      <c r="A58" s="171" t="s">
        <v>305</v>
      </c>
      <c r="B58" s="211">
        <f>B50</f>
        <v>15875.22</v>
      </c>
      <c r="C58" s="211">
        <f>C50</f>
        <v>8280.7870000000003</v>
      </c>
      <c r="D58" s="211">
        <f>D50</f>
        <v>11261.34</v>
      </c>
      <c r="E58" s="212">
        <v>11367.58</v>
      </c>
      <c r="F58" s="211">
        <f>F50</f>
        <v>11367.58</v>
      </c>
    </row>
    <row r="59" spans="1:17" x14ac:dyDescent="0.25">
      <c r="B59" s="211"/>
      <c r="C59" s="211"/>
      <c r="D59" s="211"/>
      <c r="E59" s="212"/>
      <c r="F59" s="211"/>
    </row>
    <row r="60" spans="1:17" x14ac:dyDescent="0.25">
      <c r="A60" s="171" t="s">
        <v>306</v>
      </c>
      <c r="B60" s="211">
        <f>B49-B55</f>
        <v>528.82200000000012</v>
      </c>
      <c r="C60" s="211">
        <f t="shared" ref="C60:F60" si="4">C49-C55</f>
        <v>460.47410000000127</v>
      </c>
      <c r="D60" s="211">
        <f t="shared" si="4"/>
        <v>508.36300000000119</v>
      </c>
      <c r="E60" s="211">
        <f t="shared" si="4"/>
        <v>542.19050000000061</v>
      </c>
      <c r="F60" s="211">
        <f t="shared" si="4"/>
        <v>651.83350000000064</v>
      </c>
    </row>
    <row r="61" spans="1:17" x14ac:dyDescent="0.25">
      <c r="A61" s="171" t="s">
        <v>307</v>
      </c>
      <c r="B61" s="211">
        <f>B52-B56</f>
        <v>34775.337999999996</v>
      </c>
      <c r="C61" s="211">
        <f t="shared" ref="C61:F61" si="5">C52-C56</f>
        <v>30461.312000000005</v>
      </c>
      <c r="D61" s="211">
        <f t="shared" si="5"/>
        <v>33371.620000000003</v>
      </c>
      <c r="E61" s="211">
        <f t="shared" si="5"/>
        <v>31613.237999999998</v>
      </c>
      <c r="F61" s="211">
        <f t="shared" si="5"/>
        <v>30075.402000000002</v>
      </c>
    </row>
    <row r="62" spans="1:17" x14ac:dyDescent="0.25">
      <c r="E62" s="213"/>
    </row>
    <row r="63" spans="1:17" ht="47.25" x14ac:dyDescent="0.4">
      <c r="A63" s="214" t="s">
        <v>308</v>
      </c>
      <c r="G63" s="171" t="s">
        <v>309</v>
      </c>
      <c r="J63" s="215" t="s">
        <v>310</v>
      </c>
      <c r="O63" s="216"/>
      <c r="P63" s="216" t="s">
        <v>311</v>
      </c>
    </row>
    <row r="64" spans="1:17" s="210" customFormat="1" x14ac:dyDescent="0.25">
      <c r="A64" s="210" t="s">
        <v>96</v>
      </c>
      <c r="B64" s="210">
        <v>2019</v>
      </c>
      <c r="C64" s="210">
        <v>2020</v>
      </c>
      <c r="D64" s="210">
        <v>2021</v>
      </c>
      <c r="E64" s="210">
        <v>2022</v>
      </c>
      <c r="F64" s="210">
        <v>2023</v>
      </c>
      <c r="H64" s="210">
        <v>2024</v>
      </c>
      <c r="I64" s="172">
        <f>I24</f>
        <v>2028</v>
      </c>
      <c r="J64" s="173">
        <f t="shared" ref="J64:P64" si="6">J24</f>
        <v>2030</v>
      </c>
      <c r="K64" s="210">
        <f t="shared" si="6"/>
        <v>2032</v>
      </c>
      <c r="L64" s="174">
        <f t="shared" si="6"/>
        <v>2036</v>
      </c>
      <c r="M64" s="173">
        <f t="shared" si="6"/>
        <v>2040</v>
      </c>
      <c r="N64" s="210">
        <f t="shared" si="6"/>
        <v>2044</v>
      </c>
      <c r="O64" s="172">
        <f t="shared" si="6"/>
        <v>2048</v>
      </c>
      <c r="P64" s="173">
        <f t="shared" si="6"/>
        <v>2050</v>
      </c>
      <c r="Q64" s="173">
        <v>2052</v>
      </c>
    </row>
    <row r="65" spans="1:25" x14ac:dyDescent="0.25">
      <c r="A65" s="171" t="s">
        <v>312</v>
      </c>
      <c r="B65" s="211">
        <f>(B49+B50+B51+B52)/3.6</f>
        <v>19578.700555555555</v>
      </c>
      <c r="C65" s="211">
        <f t="shared" ref="C65:F65" si="7">(C49+C50+C51+C52)/3.6</f>
        <v>17444.618333333336</v>
      </c>
      <c r="D65" s="211">
        <f t="shared" si="7"/>
        <v>19485.127222222221</v>
      </c>
      <c r="E65" s="211">
        <f t="shared" si="7"/>
        <v>22074.805555555551</v>
      </c>
      <c r="F65" s="211">
        <f t="shared" si="7"/>
        <v>22918.588888888888</v>
      </c>
      <c r="G65" s="217">
        <f>(F65/D65)^(1/(F64-B64))-1</f>
        <v>4.1408593708299968E-2</v>
      </c>
      <c r="H65" s="218">
        <f>L4*11.63</f>
        <v>16173.841000000002</v>
      </c>
      <c r="I65" s="219">
        <f>L5*11.63</f>
        <v>24462.542000000001</v>
      </c>
      <c r="J65" s="220">
        <f>(I65+K65)/2</f>
        <v>30530.494500000001</v>
      </c>
      <c r="K65" s="218">
        <f>L6*11.63</f>
        <v>36598.447</v>
      </c>
      <c r="L65" s="221">
        <f>L7*11.63</f>
        <v>54366.760999999999</v>
      </c>
      <c r="M65" s="220">
        <f>L8*11.63</f>
        <v>80381.90800000001</v>
      </c>
      <c r="N65" s="218">
        <f>L9*11.63</f>
        <v>118468.99500000001</v>
      </c>
      <c r="O65" s="219">
        <f>L10*11.63</f>
        <v>174233.682</v>
      </c>
      <c r="P65" s="220">
        <f>(O65+Q65)/2</f>
        <v>215055.56349999999</v>
      </c>
      <c r="Q65" s="220">
        <f>L11*11.63</f>
        <v>255877.44500000001</v>
      </c>
      <c r="R65" s="211"/>
      <c r="S65" s="211" t="s">
        <v>313</v>
      </c>
      <c r="T65" s="211"/>
      <c r="U65" s="211"/>
      <c r="V65" s="211"/>
      <c r="W65" s="211"/>
      <c r="X65" s="211"/>
      <c r="Y65" s="211"/>
    </row>
    <row r="66" spans="1:25" x14ac:dyDescent="0.25">
      <c r="A66" s="171" t="s">
        <v>314</v>
      </c>
      <c r="B66" s="211">
        <f>B49/3.6</f>
        <v>2937.9</v>
      </c>
      <c r="C66" s="211">
        <f t="shared" ref="C66:F66" si="8">C49/3.6</f>
        <v>2558.1894444444442</v>
      </c>
      <c r="D66" s="211">
        <f t="shared" si="8"/>
        <v>2824.2388888888891</v>
      </c>
      <c r="E66" s="211">
        <f t="shared" si="8"/>
        <v>3012.1694444444443</v>
      </c>
      <c r="F66" s="211">
        <f t="shared" si="8"/>
        <v>3621.297222222222</v>
      </c>
      <c r="G66" s="217">
        <f>(F66/B66)^(1/(F64-B64))-1</f>
        <v>5.3675278227879542E-2</v>
      </c>
      <c r="H66" s="218"/>
      <c r="I66" s="219"/>
      <c r="J66" s="220"/>
      <c r="K66" s="218"/>
      <c r="L66" s="221"/>
      <c r="M66" s="220"/>
      <c r="N66" s="218"/>
      <c r="O66" s="219"/>
      <c r="P66" s="220"/>
      <c r="Q66" s="220"/>
      <c r="R66" s="211"/>
      <c r="S66" s="211"/>
      <c r="T66" s="211"/>
      <c r="U66" s="211"/>
      <c r="V66" s="211"/>
      <c r="W66" s="211"/>
      <c r="X66" s="211"/>
      <c r="Y66" s="211"/>
    </row>
    <row r="67" spans="1:25" x14ac:dyDescent="0.25">
      <c r="A67" s="171" t="s">
        <v>315</v>
      </c>
      <c r="B67" s="211">
        <f>(B50+B51+B52)/3.6</f>
        <v>16640.800555555554</v>
      </c>
      <c r="C67" s="211">
        <f t="shared" ref="C67:F67" si="9">(C50+C51+C52)/3.6</f>
        <v>14886.428888888888</v>
      </c>
      <c r="D67" s="211">
        <f t="shared" si="9"/>
        <v>16660.888333333332</v>
      </c>
      <c r="E67" s="211">
        <f t="shared" si="9"/>
        <v>19062.636111111107</v>
      </c>
      <c r="F67" s="211">
        <f t="shared" si="9"/>
        <v>19297.291666666668</v>
      </c>
      <c r="G67" s="217">
        <f>(F67/B67)^(1/(F64-B64))-1</f>
        <v>3.7720834851399765E-2</v>
      </c>
      <c r="H67" s="218"/>
      <c r="I67" s="219"/>
      <c r="J67" s="220"/>
      <c r="K67" s="218"/>
      <c r="L67" s="221"/>
      <c r="M67" s="220"/>
      <c r="N67" s="218"/>
      <c r="O67" s="219"/>
      <c r="P67" s="220"/>
      <c r="Q67" s="220"/>
      <c r="R67" s="211"/>
      <c r="S67" s="211"/>
      <c r="T67" s="211"/>
      <c r="U67" s="211"/>
      <c r="V67" s="211"/>
      <c r="W67" s="211"/>
      <c r="X67" s="211"/>
      <c r="Y67" s="211"/>
    </row>
    <row r="68" spans="1:25" s="222" customFormat="1" x14ac:dyDescent="0.25">
      <c r="A68" s="222" t="s">
        <v>316</v>
      </c>
      <c r="B68" s="223">
        <f>B55/3.6</f>
        <v>2791.0050000000001</v>
      </c>
      <c r="C68" s="223">
        <f t="shared" ref="C68:F68" si="10">C55/3.6</f>
        <v>2430.2799722222217</v>
      </c>
      <c r="D68" s="223">
        <f t="shared" si="10"/>
        <v>2683.0269444444443</v>
      </c>
      <c r="E68" s="223">
        <f t="shared" si="10"/>
        <v>2861.5609722222221</v>
      </c>
      <c r="F68" s="223">
        <f t="shared" si="10"/>
        <v>3440.232361111111</v>
      </c>
      <c r="G68" s="217">
        <f>(F68/B68)^(1/(F64-B64))-1</f>
        <v>5.3675278227879542E-2</v>
      </c>
      <c r="H68" s="223"/>
      <c r="I68" s="223"/>
      <c r="J68" s="223">
        <f>J26*0.95</f>
        <v>26790</v>
      </c>
      <c r="K68" s="223">
        <f>E68*(1+G68)^(J64-E64)</f>
        <v>4347.6775685872717</v>
      </c>
      <c r="L68" s="223"/>
      <c r="M68" s="223">
        <f>M26*0.95</f>
        <v>44555</v>
      </c>
      <c r="N68" s="223">
        <f>E68*(1+G68)^(M64-E64)</f>
        <v>7333.7353602111407</v>
      </c>
      <c r="O68" s="223"/>
      <c r="P68" s="223">
        <f>P26*0.95</f>
        <v>65835</v>
      </c>
      <c r="Q68" s="223"/>
      <c r="S68" s="222" t="s">
        <v>317</v>
      </c>
    </row>
    <row r="69" spans="1:25" s="224" customFormat="1" x14ac:dyDescent="0.25">
      <c r="A69" s="224" t="s">
        <v>318</v>
      </c>
      <c r="B69" s="225">
        <f t="shared" ref="B69:F71" si="11">B56/3.6</f>
        <v>2533.3338888888889</v>
      </c>
      <c r="C69" s="225">
        <f t="shared" si="11"/>
        <v>2518.2216666666668</v>
      </c>
      <c r="D69" s="225">
        <f t="shared" si="11"/>
        <v>2531.5555555555557</v>
      </c>
      <c r="E69" s="225">
        <f t="shared" si="11"/>
        <v>2605.1200000000003</v>
      </c>
      <c r="F69" s="225">
        <f t="shared" si="11"/>
        <v>2791.9466666666667</v>
      </c>
      <c r="G69" s="217">
        <f>(F69/B69)^(1/(F64-B64))-1</f>
        <v>2.4598395095139836E-2</v>
      </c>
      <c r="I69" s="226"/>
      <c r="J69" s="227"/>
      <c r="L69" s="228"/>
      <c r="M69" s="227"/>
      <c r="O69" s="226"/>
      <c r="P69" s="227"/>
      <c r="Q69" s="227"/>
    </row>
    <row r="70" spans="1:25" s="229" customFormat="1" x14ac:dyDescent="0.25">
      <c r="A70" s="229" t="s">
        <v>319</v>
      </c>
      <c r="B70" s="230">
        <f>B58/3.6</f>
        <v>4409.7833333333328</v>
      </c>
      <c r="C70" s="230">
        <f t="shared" si="11"/>
        <v>1606.5130555555556</v>
      </c>
      <c r="D70" s="230">
        <f t="shared" si="11"/>
        <v>1731.2883333333332</v>
      </c>
      <c r="E70" s="230">
        <f t="shared" si="11"/>
        <v>4518.3999999999996</v>
      </c>
      <c r="F70" s="230">
        <f t="shared" si="11"/>
        <v>4993.4055555555551</v>
      </c>
      <c r="G70" s="217">
        <f>(F70/B70)^(1/(F64-B64))-1</f>
        <v>3.1560958665195482E-2</v>
      </c>
      <c r="I70" s="231"/>
      <c r="J70" s="232"/>
      <c r="L70" s="233"/>
      <c r="M70" s="232"/>
      <c r="O70" s="231"/>
      <c r="P70" s="232"/>
      <c r="Q70" s="232"/>
    </row>
    <row r="71" spans="1:25" s="234" customFormat="1" x14ac:dyDescent="0.25">
      <c r="A71" s="234" t="s">
        <v>320</v>
      </c>
      <c r="B71" s="235">
        <f>B57/3.6</f>
        <v>37.867222222222225</v>
      </c>
      <c r="C71" s="235">
        <f t="shared" si="11"/>
        <v>2300.2186111111109</v>
      </c>
      <c r="D71" s="235">
        <f t="shared" si="11"/>
        <v>3128.15</v>
      </c>
      <c r="E71" s="235">
        <f t="shared" si="11"/>
        <v>3157.661111111111</v>
      </c>
      <c r="F71" s="235">
        <f t="shared" si="11"/>
        <v>3157.661111111111</v>
      </c>
      <c r="G71" s="217">
        <f>(F71/C71)^(1/(F64-C64))-1</f>
        <v>0.11138739921046215</v>
      </c>
      <c r="I71" s="236"/>
      <c r="J71" s="237"/>
      <c r="L71" s="238"/>
      <c r="M71" s="237"/>
      <c r="O71" s="236"/>
      <c r="P71" s="237"/>
      <c r="Q71" s="237"/>
    </row>
    <row r="72" spans="1:25" s="234" customFormat="1" x14ac:dyDescent="0.25">
      <c r="A72" s="234" t="s">
        <v>321</v>
      </c>
      <c r="B72" s="235">
        <f>B69+B70+B71</f>
        <v>6980.9844444444434</v>
      </c>
      <c r="C72" s="235">
        <f t="shared" ref="C72:F72" si="12">C69+C70+C71</f>
        <v>6424.9533333333329</v>
      </c>
      <c r="D72" s="235">
        <f t="shared" si="12"/>
        <v>7390.9938888888883</v>
      </c>
      <c r="E72" s="235">
        <f t="shared" si="12"/>
        <v>10281.181111111111</v>
      </c>
      <c r="F72" s="235">
        <f t="shared" si="12"/>
        <v>10943.013333333332</v>
      </c>
      <c r="G72" s="217">
        <f>(F72/B72)^(1/(F64-B64))-1</f>
        <v>0.11893553034658932</v>
      </c>
      <c r="I72" s="236"/>
      <c r="J72" s="237"/>
      <c r="L72" s="238"/>
      <c r="M72" s="237"/>
      <c r="O72" s="236"/>
      <c r="P72" s="237"/>
      <c r="Q72" s="237"/>
    </row>
    <row r="73" spans="1:25" s="234" customFormat="1" x14ac:dyDescent="0.25">
      <c r="B73" s="235"/>
      <c r="C73" s="235"/>
      <c r="D73" s="235"/>
      <c r="E73" s="235"/>
      <c r="F73" s="235"/>
      <c r="G73" s="217"/>
      <c r="I73" s="236"/>
      <c r="J73" s="237"/>
      <c r="L73" s="238"/>
      <c r="M73" s="237"/>
      <c r="O73" s="236"/>
      <c r="P73" s="237"/>
      <c r="Q73" s="237"/>
    </row>
    <row r="75" spans="1:25" s="173" customFormat="1" x14ac:dyDescent="0.25">
      <c r="A75" s="173" t="s">
        <v>322</v>
      </c>
      <c r="B75" s="239">
        <f>B60/3.6</f>
        <v>146.89500000000004</v>
      </c>
      <c r="C75" s="239">
        <f t="shared" ref="C75:F76" si="13">C60/3.6</f>
        <v>127.90947222222258</v>
      </c>
      <c r="D75" s="239">
        <f t="shared" si="13"/>
        <v>141.21194444444478</v>
      </c>
      <c r="E75" s="239">
        <f t="shared" si="13"/>
        <v>150.60847222222239</v>
      </c>
      <c r="F75" s="239">
        <f t="shared" si="13"/>
        <v>181.0648611111113</v>
      </c>
      <c r="I75" s="172"/>
      <c r="L75" s="174"/>
      <c r="O75" s="172"/>
    </row>
    <row r="76" spans="1:25" s="173" customFormat="1" x14ac:dyDescent="0.25">
      <c r="A76" s="173" t="s">
        <v>323</v>
      </c>
      <c r="B76" s="239">
        <f>B61/3.6</f>
        <v>9659.8161111111094</v>
      </c>
      <c r="C76" s="239">
        <f t="shared" si="13"/>
        <v>8461.4755555555566</v>
      </c>
      <c r="D76" s="239">
        <f t="shared" si="13"/>
        <v>9269.8944444444442</v>
      </c>
      <c r="E76" s="239">
        <f t="shared" si="13"/>
        <v>8781.4549999999999</v>
      </c>
      <c r="F76" s="239">
        <f t="shared" si="13"/>
        <v>8354.2783333333336</v>
      </c>
      <c r="I76" s="172"/>
      <c r="L76" s="174"/>
      <c r="O76" s="172"/>
    </row>
    <row r="78" spans="1:25" x14ac:dyDescent="0.25">
      <c r="A78" s="171" t="s">
        <v>324</v>
      </c>
      <c r="B78" s="171">
        <f>B68/(B68+B75)</f>
        <v>0.95</v>
      </c>
      <c r="C78" s="171">
        <f t="shared" ref="C78:F79" si="14">C68/(C68+C75)</f>
        <v>0.94999999999999984</v>
      </c>
      <c r="D78" s="171">
        <f t="shared" si="14"/>
        <v>0.95</v>
      </c>
      <c r="E78" s="171">
        <f t="shared" si="14"/>
        <v>0.95</v>
      </c>
      <c r="F78" s="171">
        <f t="shared" si="14"/>
        <v>0.95</v>
      </c>
    </row>
    <row r="79" spans="1:25" x14ac:dyDescent="0.25">
      <c r="A79" s="171" t="s">
        <v>325</v>
      </c>
      <c r="B79" s="199">
        <f>B69/(B69+B76)</f>
        <v>0.2077669748087155</v>
      </c>
      <c r="C79" s="199">
        <f t="shared" si="14"/>
        <v>0.22935256006604107</v>
      </c>
      <c r="D79" s="199">
        <f t="shared" si="14"/>
        <v>0.21451224684725653</v>
      </c>
      <c r="E79" s="199">
        <f t="shared" si="14"/>
        <v>0.22878872707552536</v>
      </c>
      <c r="F79" s="199">
        <f t="shared" si="14"/>
        <v>0.2504836091741075</v>
      </c>
    </row>
    <row r="80" spans="1:25" x14ac:dyDescent="0.25">
      <c r="A80" s="171" t="s">
        <v>326</v>
      </c>
      <c r="B80" s="199">
        <f>B70/(B70+B71)</f>
        <v>0.9914860167746492</v>
      </c>
      <c r="C80" s="199">
        <f t="shared" ref="C80:F80" si="15">C70/(C70+C71)</f>
        <v>0.4112166364695013</v>
      </c>
      <c r="D80" s="199">
        <f t="shared" si="15"/>
        <v>0.3562733416036078</v>
      </c>
      <c r="E80" s="199">
        <f t="shared" si="15"/>
        <v>0.58863523030836851</v>
      </c>
      <c r="F80" s="199">
        <f t="shared" si="15"/>
        <v>0.61260762054318729</v>
      </c>
    </row>
    <row r="81" spans="1:17" x14ac:dyDescent="0.25">
      <c r="A81" s="171" t="s">
        <v>327</v>
      </c>
      <c r="B81" s="199">
        <f>B71/(B71+B70)</f>
        <v>8.5139832253508137E-3</v>
      </c>
      <c r="C81" s="199">
        <f t="shared" ref="C81:F81" si="16">C71/(C71+C70)</f>
        <v>0.58878336353049865</v>
      </c>
      <c r="D81" s="199">
        <f t="shared" si="16"/>
        <v>0.6437266583963922</v>
      </c>
      <c r="E81" s="199">
        <f t="shared" si="16"/>
        <v>0.41136476969163155</v>
      </c>
      <c r="F81" s="199">
        <f t="shared" si="16"/>
        <v>0.38739237945681276</v>
      </c>
    </row>
    <row r="82" spans="1:17" x14ac:dyDescent="0.25">
      <c r="A82" s="171" t="s">
        <v>328</v>
      </c>
      <c r="B82" s="199">
        <f>SUM(B69:B71)/(B65-B68)</f>
        <v>0.41583935218161766</v>
      </c>
      <c r="C82" s="199">
        <f t="shared" ref="C82:F82" si="17">SUM(C69:C71)/(C65-C68)</f>
        <v>0.4279211763319995</v>
      </c>
      <c r="D82" s="199">
        <f t="shared" si="17"/>
        <v>0.43988511952068954</v>
      </c>
      <c r="E82" s="199">
        <f t="shared" si="17"/>
        <v>0.53510905284730503</v>
      </c>
      <c r="F82" s="199">
        <f t="shared" si="17"/>
        <v>0.56180372906346965</v>
      </c>
      <c r="J82" s="173">
        <f>AVERAGE(B82:F82)*(J65-J68)</f>
        <v>1780.8931428276426</v>
      </c>
      <c r="M82" s="173">
        <f>AVERAGE(B82:F82)*(M65-M68)</f>
        <v>17057.609571653378</v>
      </c>
      <c r="P82" s="173">
        <f>AVERAGE(B82:F82)*(P65-P68)</f>
        <v>71045.654072216043</v>
      </c>
    </row>
    <row r="84" spans="1:17" s="173" customFormat="1" x14ac:dyDescent="0.25">
      <c r="A84" s="173" t="s">
        <v>329</v>
      </c>
      <c r="B84" s="206">
        <f>B75/(B75+B68)</f>
        <v>5.000000000000001E-2</v>
      </c>
      <c r="C84" s="206">
        <f t="shared" ref="C84:F85" si="18">C75/(C75+C68)</f>
        <v>5.0000000000000142E-2</v>
      </c>
      <c r="D84" s="206">
        <f t="shared" si="18"/>
        <v>5.0000000000000114E-2</v>
      </c>
      <c r="E84" s="206">
        <f t="shared" si="18"/>
        <v>5.0000000000000058E-2</v>
      </c>
      <c r="F84" s="206">
        <f t="shared" si="18"/>
        <v>5.0000000000000051E-2</v>
      </c>
      <c r="I84" s="172"/>
      <c r="L84" s="174"/>
      <c r="O84" s="172"/>
    </row>
    <row r="85" spans="1:17" s="173" customFormat="1" x14ac:dyDescent="0.25">
      <c r="A85" s="173" t="s">
        <v>330</v>
      </c>
      <c r="B85" s="206">
        <f>B76/(B76+B69)</f>
        <v>0.79223302519128458</v>
      </c>
      <c r="C85" s="206">
        <f t="shared" si="18"/>
        <v>0.77064743993395901</v>
      </c>
      <c r="D85" s="206">
        <f t="shared" si="18"/>
        <v>0.78548775315274344</v>
      </c>
      <c r="E85" s="206">
        <f t="shared" si="18"/>
        <v>0.77121127292447456</v>
      </c>
      <c r="F85" s="206">
        <f t="shared" si="18"/>
        <v>0.7495163908258925</v>
      </c>
      <c r="I85" s="172"/>
      <c r="L85" s="174"/>
      <c r="O85" s="172"/>
    </row>
    <row r="86" spans="1:17" s="173" customFormat="1" x14ac:dyDescent="0.25">
      <c r="A86" s="173" t="s">
        <v>331</v>
      </c>
      <c r="B86" s="206">
        <f>(B75+B76)/B65</f>
        <v>0.50088672040741777</v>
      </c>
      <c r="C86" s="206">
        <f t="shared" ref="C86:F86" si="19">(C75+C76)/C65</f>
        <v>0.49238022085958183</v>
      </c>
      <c r="D86" s="206">
        <f t="shared" si="19"/>
        <v>0.48298921949843859</v>
      </c>
      <c r="E86" s="206">
        <f t="shared" si="19"/>
        <v>0.40462705094923457</v>
      </c>
      <c r="F86" s="206">
        <f t="shared" si="19"/>
        <v>0.37242010124726516</v>
      </c>
      <c r="I86" s="172"/>
      <c r="L86" s="174"/>
      <c r="O86" s="172"/>
    </row>
    <row r="88" spans="1:17" x14ac:dyDescent="0.25">
      <c r="A88" s="171" t="s">
        <v>332</v>
      </c>
      <c r="B88" s="199">
        <f>B68/B65</f>
        <v>0.14255312767465758</v>
      </c>
      <c r="C88" s="199">
        <f t="shared" ref="C88:F88" si="20">C68/C65</f>
        <v>0.1393140237168973</v>
      </c>
      <c r="D88" s="199">
        <f t="shared" si="20"/>
        <v>0.13769614710980846</v>
      </c>
      <c r="E88" s="199">
        <f t="shared" si="20"/>
        <v>0.12963017794292891</v>
      </c>
      <c r="F88" s="199">
        <f t="shared" si="20"/>
        <v>0.15010663954005313</v>
      </c>
    </row>
    <row r="89" spans="1:17" x14ac:dyDescent="0.25">
      <c r="A89" s="171" t="s">
        <v>333</v>
      </c>
      <c r="B89" s="199">
        <f>B69/B65</f>
        <v>0.12939234050290649</v>
      </c>
      <c r="C89" s="199">
        <f t="shared" ref="C89:F89" si="21">C69/C65</f>
        <v>0.14435521709608434</v>
      </c>
      <c r="D89" s="199">
        <f t="shared" si="21"/>
        <v>0.12992245453077617</v>
      </c>
      <c r="E89" s="199">
        <f t="shared" si="21"/>
        <v>0.11801327053340099</v>
      </c>
      <c r="F89" s="199">
        <f t="shared" si="21"/>
        <v>0.12182018187080551</v>
      </c>
    </row>
    <row r="90" spans="1:17" x14ac:dyDescent="0.25">
      <c r="A90" s="171" t="s">
        <v>334</v>
      </c>
      <c r="B90" s="199">
        <f>(B70+B71)/B65</f>
        <v>0.22716781141501813</v>
      </c>
      <c r="C90" s="199">
        <f t="shared" ref="C90:F90" si="22">(C70+C71)/C65</f>
        <v>0.22395053832743639</v>
      </c>
      <c r="D90" s="199">
        <f t="shared" si="22"/>
        <v>0.24939217886097687</v>
      </c>
      <c r="E90" s="199">
        <f t="shared" si="22"/>
        <v>0.34772950057443569</v>
      </c>
      <c r="F90" s="199">
        <f t="shared" si="22"/>
        <v>0.35565307734187629</v>
      </c>
    </row>
    <row r="92" spans="1:17" s="229" customFormat="1" x14ac:dyDescent="0.25">
      <c r="A92" s="229" t="s">
        <v>335</v>
      </c>
      <c r="B92" s="240">
        <f>B69/(B$69+B$70+B$71)</f>
        <v>0.36289063656415227</v>
      </c>
      <c r="C92" s="240">
        <f t="shared" ref="C92:F92" si="23">C69/(C$69+C$70+C$71)</f>
        <v>0.39194396223889566</v>
      </c>
      <c r="D92" s="240">
        <f t="shared" si="23"/>
        <v>0.34251896207914906</v>
      </c>
      <c r="E92" s="240">
        <f t="shared" si="23"/>
        <v>0.25338722972058014</v>
      </c>
      <c r="F92" s="240">
        <f t="shared" si="23"/>
        <v>0.25513508771502308</v>
      </c>
      <c r="I92" s="231"/>
      <c r="J92" s="232"/>
      <c r="L92" s="233"/>
      <c r="M92" s="232"/>
      <c r="O92" s="231"/>
      <c r="P92" s="232"/>
      <c r="Q92" s="232"/>
    </row>
    <row r="93" spans="1:17" s="229" customFormat="1" x14ac:dyDescent="0.25">
      <c r="A93" s="229" t="s">
        <v>336</v>
      </c>
      <c r="B93" s="240">
        <f t="shared" ref="B93:F94" si="24">B70/(B$69+B$70+B$71)</f>
        <v>0.63168502500284107</v>
      </c>
      <c r="C93" s="240">
        <f t="shared" si="24"/>
        <v>0.25004275863309344</v>
      </c>
      <c r="D93" s="240">
        <f t="shared" si="24"/>
        <v>0.23424296642106998</v>
      </c>
      <c r="E93" s="240">
        <f t="shared" si="24"/>
        <v>0.43948257998459533</v>
      </c>
      <c r="F93" s="240">
        <f t="shared" si="24"/>
        <v>0.45630992154100963</v>
      </c>
      <c r="I93" s="231"/>
      <c r="J93" s="232"/>
      <c r="L93" s="233"/>
      <c r="M93" s="232"/>
      <c r="O93" s="231"/>
      <c r="P93" s="232"/>
      <c r="Q93" s="232"/>
    </row>
    <row r="94" spans="1:17" s="229" customFormat="1" x14ac:dyDescent="0.25">
      <c r="A94" s="229" t="s">
        <v>337</v>
      </c>
      <c r="B94" s="240">
        <f t="shared" si="24"/>
        <v>5.4243384330067432E-3</v>
      </c>
      <c r="C94" s="240">
        <f t="shared" si="24"/>
        <v>0.35801327912801095</v>
      </c>
      <c r="D94" s="240">
        <f t="shared" si="24"/>
        <v>0.42323807149978104</v>
      </c>
      <c r="E94" s="240">
        <f t="shared" si="24"/>
        <v>0.30713019029482452</v>
      </c>
      <c r="F94" s="240">
        <f t="shared" si="24"/>
        <v>0.28855499074396734</v>
      </c>
      <c r="I94" s="231"/>
      <c r="J94" s="232"/>
      <c r="L94" s="233"/>
      <c r="M94" s="232"/>
      <c r="O94" s="231"/>
      <c r="P94" s="232"/>
      <c r="Q94" s="232"/>
    </row>
    <row r="95" spans="1:17" x14ac:dyDescent="0.25">
      <c r="B95" s="199">
        <f>SUM(B92:B94)</f>
        <v>1.0000000000000002</v>
      </c>
      <c r="C95" s="199">
        <f t="shared" ref="C95:F95" si="25">SUM(C92:C94)</f>
        <v>1</v>
      </c>
      <c r="D95" s="199">
        <f t="shared" si="25"/>
        <v>1</v>
      </c>
      <c r="E95" s="199">
        <f t="shared" si="25"/>
        <v>1</v>
      </c>
      <c r="F95" s="199">
        <f t="shared" si="25"/>
        <v>1</v>
      </c>
    </row>
    <row r="97" spans="1:19" s="173" customFormat="1" x14ac:dyDescent="0.25">
      <c r="A97" s="173" t="s">
        <v>338</v>
      </c>
      <c r="B97" s="206">
        <f>B75/B65</f>
        <v>7.5027961934030314E-3</v>
      </c>
      <c r="C97" s="206">
        <f t="shared" ref="C97:F97" si="26">C75/C65</f>
        <v>7.3323170377314582E-3</v>
      </c>
      <c r="D97" s="206">
        <f t="shared" si="26"/>
        <v>7.2471656373583569E-3</v>
      </c>
      <c r="E97" s="206">
        <f t="shared" si="26"/>
        <v>6.8226409443646885E-3</v>
      </c>
      <c r="F97" s="206">
        <f t="shared" si="26"/>
        <v>7.9003494494764882E-3</v>
      </c>
      <c r="I97" s="172"/>
      <c r="L97" s="174"/>
      <c r="O97" s="172"/>
    </row>
    <row r="98" spans="1:19" s="173" customFormat="1" x14ac:dyDescent="0.25">
      <c r="A98" s="173" t="s">
        <v>339</v>
      </c>
      <c r="B98" s="206">
        <f>B76/B65</f>
        <v>0.49338392421401467</v>
      </c>
      <c r="C98" s="206">
        <f t="shared" ref="C98:F98" si="27">C76/C65</f>
        <v>0.48504790382185042</v>
      </c>
      <c r="D98" s="206">
        <f t="shared" si="27"/>
        <v>0.47574205386108021</v>
      </c>
      <c r="E98" s="206">
        <f t="shared" si="27"/>
        <v>0.39780441000486988</v>
      </c>
      <c r="F98" s="206">
        <f t="shared" si="27"/>
        <v>0.36451975179778862</v>
      </c>
      <c r="I98" s="172"/>
      <c r="J98" s="173">
        <f>AVERAGE(B98:F98)*J65</f>
        <v>13534.156266486301</v>
      </c>
      <c r="L98" s="174"/>
      <c r="O98" s="172"/>
    </row>
    <row r="100" spans="1:19" x14ac:dyDescent="0.25">
      <c r="A100" s="171" t="s">
        <v>340</v>
      </c>
      <c r="C100" s="199">
        <f>(C65-B65)/B65</f>
        <v>-0.10900019723814934</v>
      </c>
      <c r="D100" s="199">
        <f t="shared" ref="D100:F100" si="28">(D65-C65)/C65</f>
        <v>0.11697068115212718</v>
      </c>
      <c r="E100" s="199">
        <f t="shared" si="28"/>
        <v>0.13290538490197162</v>
      </c>
      <c r="F100" s="199">
        <f t="shared" si="28"/>
        <v>3.8223817247666859E-2</v>
      </c>
    </row>
    <row r="101" spans="1:19" x14ac:dyDescent="0.25">
      <c r="A101" s="171" t="s">
        <v>341</v>
      </c>
      <c r="C101" s="199">
        <f>(C68-B68)/B68</f>
        <v>-0.12924556845214483</v>
      </c>
      <c r="D101" s="199">
        <f t="shared" ref="D101:F103" si="29">(D68-C68)/C68</f>
        <v>0.10399911743136063</v>
      </c>
      <c r="E101" s="199">
        <f t="shared" si="29"/>
        <v>6.6542018203527786E-2</v>
      </c>
      <c r="F101" s="199">
        <f t="shared" si="29"/>
        <v>0.20222228165192865</v>
      </c>
    </row>
    <row r="102" spans="1:19" x14ac:dyDescent="0.25">
      <c r="A102" s="171" t="s">
        <v>342</v>
      </c>
      <c r="C102" s="199">
        <f>(C69-B69)/B69</f>
        <v>-5.9653495690022177E-3</v>
      </c>
      <c r="D102" s="199">
        <f t="shared" si="29"/>
        <v>5.294962340046388E-3</v>
      </c>
      <c r="E102" s="199">
        <f t="shared" si="29"/>
        <v>2.905898876404504E-2</v>
      </c>
      <c r="F102" s="199">
        <f t="shared" si="29"/>
        <v>7.1715186504524298E-2</v>
      </c>
    </row>
    <row r="103" spans="1:19" x14ac:dyDescent="0.25">
      <c r="A103" s="171" t="s">
        <v>343</v>
      </c>
      <c r="C103" s="199">
        <f>(C70-B70)/B70</f>
        <v>-0.63569342661078077</v>
      </c>
      <c r="D103" s="199">
        <f t="shared" si="29"/>
        <v>7.7668387036312278E-2</v>
      </c>
      <c r="E103" s="199">
        <f t="shared" si="29"/>
        <v>1.6098483499282328</v>
      </c>
      <c r="F103" s="199">
        <f t="shared" si="29"/>
        <v>0.1051269377557444</v>
      </c>
    </row>
    <row r="106" spans="1:19" ht="21" x14ac:dyDescent="0.35">
      <c r="A106" s="241" t="s">
        <v>344</v>
      </c>
    </row>
    <row r="107" spans="1:19" s="210" customFormat="1" x14ac:dyDescent="0.25">
      <c r="A107" s="210" t="str">
        <f t="shared" ref="A107:P108" si="30">A64</f>
        <v>Year</v>
      </c>
      <c r="B107" s="210">
        <f t="shared" si="30"/>
        <v>2019</v>
      </c>
      <c r="C107" s="210">
        <f t="shared" si="30"/>
        <v>2020</v>
      </c>
      <c r="D107" s="210">
        <f t="shared" si="30"/>
        <v>2021</v>
      </c>
      <c r="E107" s="210">
        <f t="shared" si="30"/>
        <v>2022</v>
      </c>
      <c r="F107" s="210">
        <f t="shared" si="30"/>
        <v>2023</v>
      </c>
      <c r="G107" s="210">
        <f t="shared" si="30"/>
        <v>0</v>
      </c>
      <c r="H107" s="210">
        <f t="shared" si="30"/>
        <v>2024</v>
      </c>
      <c r="I107" s="172">
        <f t="shared" si="30"/>
        <v>2028</v>
      </c>
      <c r="J107" s="173">
        <f t="shared" si="30"/>
        <v>2030</v>
      </c>
      <c r="K107" s="210">
        <f t="shared" si="30"/>
        <v>2032</v>
      </c>
      <c r="L107" s="174">
        <f t="shared" si="30"/>
        <v>2036</v>
      </c>
      <c r="M107" s="173">
        <f t="shared" si="30"/>
        <v>2040</v>
      </c>
      <c r="N107" s="210">
        <f t="shared" si="30"/>
        <v>2044</v>
      </c>
      <c r="O107" s="172">
        <f t="shared" si="30"/>
        <v>2048</v>
      </c>
      <c r="P107" s="173">
        <f t="shared" si="30"/>
        <v>2050</v>
      </c>
      <c r="Q107" s="173"/>
      <c r="R107" s="210">
        <f>R64</f>
        <v>0</v>
      </c>
    </row>
    <row r="108" spans="1:19" x14ac:dyDescent="0.25">
      <c r="A108" s="171" t="str">
        <f t="shared" si="30"/>
        <v>Total Industry Consumption in GWh</v>
      </c>
      <c r="B108" s="171">
        <f t="shared" si="30"/>
        <v>19578.700555555555</v>
      </c>
      <c r="C108" s="171">
        <f t="shared" si="30"/>
        <v>17444.618333333336</v>
      </c>
      <c r="D108" s="171">
        <f t="shared" si="30"/>
        <v>19485.127222222221</v>
      </c>
      <c r="E108" s="171">
        <f t="shared" si="30"/>
        <v>22074.805555555551</v>
      </c>
      <c r="F108" s="171">
        <f t="shared" si="30"/>
        <v>22918.588888888888</v>
      </c>
      <c r="G108" s="171">
        <f>M4*11.63</f>
        <v>19959.406000000003</v>
      </c>
      <c r="I108" s="172">
        <f>M5*11.63</f>
        <v>30005.4</v>
      </c>
      <c r="J108" s="173">
        <f>M6*11.63</f>
        <v>44712.698000000004</v>
      </c>
      <c r="K108" s="171">
        <f>M7*11.63</f>
        <v>66246.805999999997</v>
      </c>
      <c r="L108" s="174">
        <f>M8*11.63</f>
        <v>97774.573000000004</v>
      </c>
      <c r="M108" s="173">
        <f>M9*11.63</f>
        <v>143935.20600000001</v>
      </c>
      <c r="N108" s="171">
        <f>M10*11.63</f>
        <v>211518.299</v>
      </c>
      <c r="O108" s="172">
        <f>(N108+P108)/2</f>
        <v>260992.31900000002</v>
      </c>
      <c r="P108" s="173">
        <f>M11*11.63</f>
        <v>310466.33900000004</v>
      </c>
      <c r="R108" s="171">
        <f>R65</f>
        <v>0</v>
      </c>
      <c r="S108" s="171" t="s">
        <v>345</v>
      </c>
    </row>
    <row r="109" spans="1:19" x14ac:dyDescent="0.25">
      <c r="A109" s="171" t="s">
        <v>346</v>
      </c>
      <c r="B109" s="171">
        <f>SUM(B110:B113)</f>
        <v>9771.9894444444453</v>
      </c>
      <c r="C109" s="171">
        <f t="shared" ref="C109:F109" si="31">SUM(C110:C113)</f>
        <v>8855.2333055555555</v>
      </c>
      <c r="D109" s="171">
        <f t="shared" si="31"/>
        <v>10074.020833333334</v>
      </c>
      <c r="E109" s="171">
        <f t="shared" si="31"/>
        <v>13142.742083333333</v>
      </c>
      <c r="F109" s="171">
        <f t="shared" si="31"/>
        <v>14383.245694444444</v>
      </c>
      <c r="O109" s="172">
        <f>O108*0.3</f>
        <v>78297.695699999997</v>
      </c>
      <c r="S109" s="171" t="s">
        <v>347</v>
      </c>
    </row>
    <row r="110" spans="1:19" x14ac:dyDescent="0.25">
      <c r="A110" s="171" t="str">
        <f t="shared" ref="A110:P113" si="32">A68</f>
        <v>Manufacturing Electricity consumption in GWh</v>
      </c>
      <c r="B110" s="171">
        <f t="shared" si="32"/>
        <v>2791.0050000000001</v>
      </c>
      <c r="C110" s="171">
        <f t="shared" si="32"/>
        <v>2430.2799722222217</v>
      </c>
      <c r="D110" s="171">
        <f t="shared" si="32"/>
        <v>2683.0269444444443</v>
      </c>
      <c r="E110" s="171">
        <f t="shared" si="32"/>
        <v>2861.5609722222221</v>
      </c>
      <c r="F110" s="171">
        <f t="shared" si="32"/>
        <v>3440.232361111111</v>
      </c>
      <c r="G110" s="171">
        <f t="shared" si="32"/>
        <v>5.3675278227879542E-2</v>
      </c>
      <c r="H110" s="171">
        <f t="shared" si="32"/>
        <v>0</v>
      </c>
      <c r="I110" s="172">
        <f t="shared" si="32"/>
        <v>0</v>
      </c>
      <c r="J110" s="173">
        <f t="shared" si="32"/>
        <v>26790</v>
      </c>
      <c r="K110" s="171">
        <f t="shared" si="32"/>
        <v>4347.6775685872717</v>
      </c>
      <c r="L110" s="174">
        <f t="shared" si="32"/>
        <v>0</v>
      </c>
      <c r="M110" s="173">
        <f t="shared" si="32"/>
        <v>44555</v>
      </c>
      <c r="N110" s="171">
        <f t="shared" si="32"/>
        <v>7333.7353602111407</v>
      </c>
      <c r="O110" s="172">
        <f t="shared" si="32"/>
        <v>0</v>
      </c>
      <c r="P110" s="173">
        <f t="shared" si="32"/>
        <v>65835</v>
      </c>
      <c r="R110" s="171">
        <f>R68</f>
        <v>0</v>
      </c>
    </row>
    <row r="111" spans="1:19" x14ac:dyDescent="0.25">
      <c r="A111" s="171" t="str">
        <f t="shared" si="32"/>
        <v>Manufacturing Oil Consumption in GWh</v>
      </c>
      <c r="B111" s="171">
        <f t="shared" si="32"/>
        <v>2533.3338888888889</v>
      </c>
      <c r="C111" s="171">
        <f t="shared" si="32"/>
        <v>2518.2216666666668</v>
      </c>
      <c r="D111" s="171">
        <f t="shared" si="32"/>
        <v>2531.5555555555557</v>
      </c>
      <c r="E111" s="171">
        <f t="shared" si="32"/>
        <v>2605.1200000000003</v>
      </c>
      <c r="F111" s="171">
        <f t="shared" si="32"/>
        <v>2791.9466666666667</v>
      </c>
      <c r="G111" s="171">
        <f t="shared" si="32"/>
        <v>2.4598395095139836E-2</v>
      </c>
      <c r="H111" s="171">
        <f t="shared" si="32"/>
        <v>0</v>
      </c>
      <c r="I111" s="172">
        <f t="shared" si="32"/>
        <v>0</v>
      </c>
      <c r="J111" s="173">
        <f t="shared" si="32"/>
        <v>0</v>
      </c>
      <c r="K111" s="171">
        <f t="shared" si="32"/>
        <v>0</v>
      </c>
      <c r="L111" s="174">
        <f t="shared" si="32"/>
        <v>0</v>
      </c>
      <c r="M111" s="173">
        <f t="shared" si="32"/>
        <v>0</v>
      </c>
      <c r="N111" s="171">
        <f t="shared" si="32"/>
        <v>0</v>
      </c>
      <c r="O111" s="172">
        <f t="shared" si="32"/>
        <v>0</v>
      </c>
      <c r="P111" s="173">
        <f t="shared" si="32"/>
        <v>0</v>
      </c>
      <c r="R111" s="171">
        <f>R69</f>
        <v>0</v>
      </c>
    </row>
    <row r="112" spans="1:19" x14ac:dyDescent="0.25">
      <c r="A112" s="171" t="str">
        <f t="shared" si="32"/>
        <v>Manufacturing Imported Coal Consumption in GWh</v>
      </c>
      <c r="B112" s="171">
        <f t="shared" si="32"/>
        <v>4409.7833333333328</v>
      </c>
      <c r="C112" s="171">
        <f t="shared" si="32"/>
        <v>1606.5130555555556</v>
      </c>
      <c r="D112" s="171">
        <f t="shared" si="32"/>
        <v>1731.2883333333332</v>
      </c>
      <c r="E112" s="171">
        <f t="shared" si="32"/>
        <v>4518.3999999999996</v>
      </c>
      <c r="F112" s="171">
        <f t="shared" si="32"/>
        <v>4993.4055555555551</v>
      </c>
      <c r="G112" s="171">
        <f t="shared" si="32"/>
        <v>3.1560958665195482E-2</v>
      </c>
      <c r="H112" s="171">
        <f t="shared" si="32"/>
        <v>0</v>
      </c>
      <c r="I112" s="172">
        <f t="shared" si="32"/>
        <v>0</v>
      </c>
      <c r="J112" s="173">
        <f t="shared" si="32"/>
        <v>0</v>
      </c>
      <c r="K112" s="171">
        <f t="shared" si="32"/>
        <v>0</v>
      </c>
      <c r="L112" s="174">
        <f t="shared" si="32"/>
        <v>0</v>
      </c>
      <c r="M112" s="173">
        <f t="shared" si="32"/>
        <v>0</v>
      </c>
      <c r="N112" s="171">
        <f t="shared" si="32"/>
        <v>0</v>
      </c>
      <c r="O112" s="172">
        <f t="shared" si="32"/>
        <v>0</v>
      </c>
      <c r="P112" s="173">
        <f t="shared" si="32"/>
        <v>0</v>
      </c>
      <c r="R112" s="171">
        <f>R70</f>
        <v>0</v>
      </c>
    </row>
    <row r="113" spans="1:18" x14ac:dyDescent="0.25">
      <c r="A113" s="171" t="str">
        <f t="shared" si="32"/>
        <v>Manufacturing Domestic  Coal Consumption in GWh</v>
      </c>
      <c r="B113" s="171">
        <f t="shared" si="32"/>
        <v>37.867222222222225</v>
      </c>
      <c r="C113" s="171">
        <f t="shared" si="32"/>
        <v>2300.2186111111109</v>
      </c>
      <c r="D113" s="171">
        <f t="shared" si="32"/>
        <v>3128.15</v>
      </c>
      <c r="E113" s="171">
        <f t="shared" si="32"/>
        <v>3157.661111111111</v>
      </c>
      <c r="F113" s="171">
        <f t="shared" si="32"/>
        <v>3157.661111111111</v>
      </c>
      <c r="G113" s="171">
        <f t="shared" si="32"/>
        <v>0.11138739921046215</v>
      </c>
      <c r="H113" s="171">
        <f t="shared" si="32"/>
        <v>0</v>
      </c>
      <c r="I113" s="172">
        <f t="shared" si="32"/>
        <v>0</v>
      </c>
      <c r="J113" s="173">
        <f t="shared" si="32"/>
        <v>0</v>
      </c>
      <c r="K113" s="171">
        <f t="shared" si="32"/>
        <v>0</v>
      </c>
      <c r="L113" s="174">
        <f t="shared" si="32"/>
        <v>0</v>
      </c>
      <c r="M113" s="173">
        <f t="shared" si="32"/>
        <v>0</v>
      </c>
      <c r="N113" s="171">
        <f t="shared" si="32"/>
        <v>0</v>
      </c>
      <c r="O113" s="172">
        <f t="shared" si="32"/>
        <v>0</v>
      </c>
      <c r="P113" s="173">
        <f t="shared" si="32"/>
        <v>0</v>
      </c>
      <c r="R113" s="171">
        <f>R71</f>
        <v>0</v>
      </c>
    </row>
    <row r="114" spans="1:18" x14ac:dyDescent="0.25">
      <c r="A114" s="171">
        <f t="shared" ref="A114:P114" si="33">A74</f>
        <v>0</v>
      </c>
      <c r="B114" s="171">
        <f t="shared" si="33"/>
        <v>0</v>
      </c>
      <c r="C114" s="171">
        <f t="shared" si="33"/>
        <v>0</v>
      </c>
      <c r="D114" s="171">
        <f t="shared" si="33"/>
        <v>0</v>
      </c>
      <c r="E114" s="171">
        <f t="shared" si="33"/>
        <v>0</v>
      </c>
      <c r="F114" s="171">
        <f t="shared" si="33"/>
        <v>0</v>
      </c>
      <c r="G114" s="171">
        <f t="shared" si="33"/>
        <v>0</v>
      </c>
      <c r="H114" s="171">
        <f t="shared" si="33"/>
        <v>0</v>
      </c>
      <c r="I114" s="172">
        <f t="shared" si="33"/>
        <v>0</v>
      </c>
      <c r="J114" s="173">
        <f t="shared" si="33"/>
        <v>0</v>
      </c>
      <c r="K114" s="171">
        <f t="shared" si="33"/>
        <v>0</v>
      </c>
      <c r="L114" s="174">
        <f t="shared" si="33"/>
        <v>0</v>
      </c>
      <c r="M114" s="173">
        <f t="shared" si="33"/>
        <v>0</v>
      </c>
      <c r="N114" s="171">
        <f t="shared" si="33"/>
        <v>0</v>
      </c>
      <c r="O114" s="172">
        <f t="shared" si="33"/>
        <v>0</v>
      </c>
      <c r="P114" s="173">
        <f t="shared" si="33"/>
        <v>0</v>
      </c>
      <c r="R114" s="171">
        <f>R74</f>
        <v>0</v>
      </c>
    </row>
    <row r="137" spans="1:1" x14ac:dyDescent="0.25">
      <c r="A137" s="171">
        <f>A104</f>
        <v>0</v>
      </c>
    </row>
    <row r="138" spans="1:1" x14ac:dyDescent="0.25">
      <c r="A138" s="171">
        <f>A105</f>
        <v>0</v>
      </c>
    </row>
    <row r="139" spans="1:1" x14ac:dyDescent="0.25">
      <c r="A139" s="171" t="str">
        <f>A106</f>
        <v>Structural Economic Growth scenario</v>
      </c>
    </row>
    <row r="140" spans="1:1" x14ac:dyDescent="0.25">
      <c r="A140" s="171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2"/>
    <col min="2" max="6" width="7.5703125" style="171" customWidth="1"/>
    <col min="7" max="8" width="19.42578125" style="171"/>
    <col min="9" max="9" width="8" style="171" customWidth="1"/>
    <col min="10" max="10" width="20.140625" style="171" customWidth="1"/>
    <col min="11" max="11" width="23.140625" style="171" customWidth="1"/>
    <col min="12" max="12" width="20.140625" style="171" customWidth="1"/>
    <col min="13" max="14" width="24.140625" style="171" customWidth="1"/>
    <col min="15" max="16384" width="19.42578125" style="171"/>
  </cols>
  <sheetData>
    <row r="1" spans="1:14" ht="45" x14ac:dyDescent="0.25">
      <c r="I1" s="193" t="s">
        <v>96</v>
      </c>
      <c r="J1" s="242" t="s">
        <v>301</v>
      </c>
      <c r="K1" s="242" t="s">
        <v>316</v>
      </c>
      <c r="L1" s="242" t="s">
        <v>318</v>
      </c>
      <c r="M1" s="242" t="s">
        <v>319</v>
      </c>
      <c r="N1" s="242" t="s">
        <v>320</v>
      </c>
    </row>
    <row r="2" spans="1:14" x14ac:dyDescent="0.25">
      <c r="A2" s="242" t="s">
        <v>96</v>
      </c>
      <c r="B2" s="171">
        <v>2019</v>
      </c>
      <c r="C2" s="171">
        <v>2020</v>
      </c>
      <c r="D2" s="171">
        <v>2021</v>
      </c>
      <c r="E2" s="171">
        <v>2022</v>
      </c>
      <c r="F2" s="171">
        <v>2023</v>
      </c>
      <c r="I2" s="171">
        <v>2019</v>
      </c>
      <c r="J2" s="243">
        <v>19575.922777777778</v>
      </c>
      <c r="K2" s="243">
        <v>2791.0050000000001</v>
      </c>
      <c r="L2" s="243">
        <v>2533.3338888888889</v>
      </c>
      <c r="M2" s="243">
        <v>4409.7833333333328</v>
      </c>
      <c r="N2" s="243">
        <v>35.089444444444446</v>
      </c>
    </row>
    <row r="3" spans="1:14" ht="30" x14ac:dyDescent="0.25">
      <c r="A3" s="242" t="s">
        <v>301</v>
      </c>
      <c r="B3" s="211">
        <v>19575.922777777778</v>
      </c>
      <c r="C3" s="211">
        <v>17444.618333333336</v>
      </c>
      <c r="D3" s="211">
        <v>19485.127222222221</v>
      </c>
      <c r="E3" s="211">
        <v>22074.805555555551</v>
      </c>
      <c r="F3" s="211">
        <v>22918.588888888888</v>
      </c>
      <c r="I3" s="171">
        <v>2020</v>
      </c>
      <c r="J3" s="243">
        <v>17444.618333333336</v>
      </c>
      <c r="K3" s="243">
        <v>2430.2799722222217</v>
      </c>
      <c r="L3" s="243">
        <v>2518.2216666666668</v>
      </c>
      <c r="M3" s="243">
        <v>1606.5130555555556</v>
      </c>
      <c r="N3" s="243">
        <v>2300.2186111111109</v>
      </c>
    </row>
    <row r="4" spans="1:14" ht="60" x14ac:dyDescent="0.25">
      <c r="A4" s="242" t="s">
        <v>316</v>
      </c>
      <c r="B4" s="211">
        <v>2791.0050000000001</v>
      </c>
      <c r="C4" s="211">
        <v>2430.2799722222217</v>
      </c>
      <c r="D4" s="211">
        <v>2683.0269444444443</v>
      </c>
      <c r="E4" s="211">
        <v>2861.5609722222221</v>
      </c>
      <c r="F4" s="211">
        <v>3440.232361111111</v>
      </c>
      <c r="I4" s="171">
        <v>2021</v>
      </c>
      <c r="J4" s="243">
        <v>19485.127222222221</v>
      </c>
      <c r="K4" s="243">
        <v>2683.0269444444443</v>
      </c>
      <c r="L4" s="243">
        <v>2531.5555555555557</v>
      </c>
      <c r="M4" s="243">
        <v>1731.2883333333332</v>
      </c>
      <c r="N4" s="243">
        <v>3128.15</v>
      </c>
    </row>
    <row r="5" spans="1:14" ht="45" x14ac:dyDescent="0.25">
      <c r="A5" s="242" t="s">
        <v>318</v>
      </c>
      <c r="B5" s="211">
        <v>2533.3338888888889</v>
      </c>
      <c r="C5" s="211">
        <v>2518.2216666666668</v>
      </c>
      <c r="D5" s="211">
        <v>2531.5555555555557</v>
      </c>
      <c r="E5" s="211">
        <v>2605.1200000000003</v>
      </c>
      <c r="F5" s="211">
        <v>2791.9466666666667</v>
      </c>
      <c r="I5" s="171">
        <v>2022</v>
      </c>
      <c r="J5" s="243">
        <v>22074.805555555551</v>
      </c>
      <c r="K5" s="243">
        <v>2861.5609722222221</v>
      </c>
      <c r="L5" s="243">
        <v>2605.1200000000003</v>
      </c>
      <c r="M5" s="243">
        <v>4518.3999999999996</v>
      </c>
      <c r="N5" s="243">
        <v>3157.661111111111</v>
      </c>
    </row>
    <row r="6" spans="1:14" ht="60" x14ac:dyDescent="0.25">
      <c r="A6" s="242" t="s">
        <v>319</v>
      </c>
      <c r="B6" s="211">
        <v>4409.7833333333328</v>
      </c>
      <c r="C6" s="211">
        <v>1606.5130555555556</v>
      </c>
      <c r="D6" s="211">
        <v>1731.2883333333332</v>
      </c>
      <c r="E6" s="211">
        <v>4518.3999999999996</v>
      </c>
      <c r="F6" s="211">
        <v>4993.4055555555551</v>
      </c>
      <c r="I6" s="171">
        <v>2023</v>
      </c>
      <c r="J6" s="243">
        <v>22918.588888888888</v>
      </c>
      <c r="K6" s="243">
        <v>3440.232361111111</v>
      </c>
      <c r="L6" s="243">
        <v>2791.9466666666667</v>
      </c>
      <c r="M6" s="243">
        <v>4993.4055555555551</v>
      </c>
      <c r="N6" s="243">
        <v>3157.661111111111</v>
      </c>
    </row>
    <row r="7" spans="1:14" ht="60" x14ac:dyDescent="0.25">
      <c r="A7" s="242" t="s">
        <v>320</v>
      </c>
      <c r="B7" s="211">
        <v>35.089444444444446</v>
      </c>
      <c r="C7" s="211">
        <v>2300.2186111111109</v>
      </c>
      <c r="D7" s="211">
        <v>3128.15</v>
      </c>
      <c r="E7" s="211">
        <v>3157.661111111111</v>
      </c>
      <c r="F7" s="211">
        <v>3157.661111111111</v>
      </c>
      <c r="J7" s="171" t="s">
        <v>348</v>
      </c>
    </row>
    <row r="8" spans="1:14" x14ac:dyDescent="0.25">
      <c r="I8" s="171">
        <v>2019</v>
      </c>
      <c r="J8" s="171">
        <f>J2/J2-1</f>
        <v>0</v>
      </c>
      <c r="K8" s="171">
        <f>K2/K2-1</f>
        <v>0</v>
      </c>
      <c r="L8" s="171">
        <f t="shared" ref="L8:N8" si="0">L2/L2-1</f>
        <v>0</v>
      </c>
      <c r="M8" s="171">
        <f t="shared" si="0"/>
        <v>0</v>
      </c>
      <c r="N8" s="171">
        <f t="shared" si="0"/>
        <v>0</v>
      </c>
    </row>
    <row r="9" spans="1:14" x14ac:dyDescent="0.25">
      <c r="I9" s="171">
        <v>2020</v>
      </c>
      <c r="J9" s="199">
        <f>J3/J2-1</f>
        <v>-0.10887376644455604</v>
      </c>
      <c r="K9" s="199">
        <f t="shared" ref="K9:N9" si="1">K3/K2-1</f>
        <v>-0.12924556845214485</v>
      </c>
      <c r="L9" s="199">
        <f t="shared" si="1"/>
        <v>-5.9653495690021874E-3</v>
      </c>
      <c r="M9" s="199">
        <f t="shared" si="1"/>
        <v>-0.63569342661078077</v>
      </c>
      <c r="N9" s="199">
        <f t="shared" si="1"/>
        <v>64.553007393803128</v>
      </c>
    </row>
    <row r="10" spans="1:14" x14ac:dyDescent="0.25">
      <c r="I10" s="171">
        <v>2021</v>
      </c>
      <c r="J10" s="199">
        <f t="shared" ref="J10:N12" si="2">J4/J3-1</f>
        <v>0.11697068115212716</v>
      </c>
      <c r="K10" s="199">
        <f t="shared" si="2"/>
        <v>0.10399911743136059</v>
      </c>
      <c r="L10" s="199">
        <f t="shared" si="2"/>
        <v>5.2949623400464496E-3</v>
      </c>
      <c r="M10" s="199">
        <f t="shared" si="2"/>
        <v>7.7668387036312181E-2</v>
      </c>
      <c r="N10" s="199">
        <f t="shared" si="2"/>
        <v>0.35993595777792642</v>
      </c>
    </row>
    <row r="11" spans="1:14" x14ac:dyDescent="0.25">
      <c r="I11" s="171">
        <v>2022</v>
      </c>
      <c r="J11" s="199">
        <f t="shared" si="2"/>
        <v>0.13290538490197168</v>
      </c>
      <c r="K11" s="199">
        <f t="shared" si="2"/>
        <v>6.6542018203527675E-2</v>
      </c>
      <c r="L11" s="199">
        <f t="shared" si="2"/>
        <v>2.9058988764045113E-2</v>
      </c>
      <c r="M11" s="199">
        <f t="shared" si="2"/>
        <v>1.6098483499282326</v>
      </c>
      <c r="N11" s="199">
        <f t="shared" si="2"/>
        <v>9.4340460371500345E-3</v>
      </c>
    </row>
    <row r="12" spans="1:14" x14ac:dyDescent="0.25">
      <c r="I12" s="171">
        <v>2023</v>
      </c>
      <c r="J12" s="199">
        <f t="shared" si="2"/>
        <v>3.8223817247666769E-2</v>
      </c>
      <c r="K12" s="199">
        <f t="shared" si="2"/>
        <v>0.20222228165192857</v>
      </c>
      <c r="L12" s="199">
        <f t="shared" si="2"/>
        <v>7.1715186504524242E-2</v>
      </c>
      <c r="M12" s="199">
        <f t="shared" si="2"/>
        <v>0.10512693775574444</v>
      </c>
      <c r="N12" s="199">
        <f t="shared" si="2"/>
        <v>0</v>
      </c>
    </row>
    <row r="13" spans="1:14" x14ac:dyDescent="0.25">
      <c r="I13" s="171" t="s">
        <v>349</v>
      </c>
      <c r="J13" s="244">
        <f>AVERAGE(J9:J12)</f>
        <v>4.4806529214302393E-2</v>
      </c>
    </row>
    <row r="19" spans="9:12" x14ac:dyDescent="0.25">
      <c r="I19" s="171">
        <v>2050</v>
      </c>
      <c r="J19" s="171">
        <f>J6+J6*(1+0.04)^27</f>
        <v>89001.327900509059</v>
      </c>
      <c r="K19" s="211">
        <v>255877.44500000001</v>
      </c>
      <c r="L19" s="211">
        <f>-J19-K19</f>
        <v>-344878.77290050907</v>
      </c>
    </row>
    <row r="20" spans="9:12" x14ac:dyDescent="0.25">
      <c r="J20" s="171">
        <f>J5+0.04*J5*27</f>
        <v>45915.595555555541</v>
      </c>
      <c r="K20" s="171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350</v>
      </c>
      <c r="B1" s="20" t="s">
        <v>21</v>
      </c>
      <c r="C1" s="325" t="s">
        <v>351</v>
      </c>
      <c r="D1" s="325"/>
      <c r="E1" s="325"/>
      <c r="F1" s="325"/>
      <c r="G1" s="325" t="s">
        <v>352</v>
      </c>
      <c r="H1" s="325"/>
      <c r="I1" s="325"/>
      <c r="J1" s="325"/>
      <c r="K1" s="325" t="s">
        <v>353</v>
      </c>
      <c r="L1" s="325"/>
      <c r="M1" s="325" t="s">
        <v>354</v>
      </c>
      <c r="N1" s="325"/>
      <c r="O1" s="325" t="s">
        <v>355</v>
      </c>
      <c r="P1" s="325"/>
      <c r="Q1" s="325"/>
      <c r="R1" s="325" t="s">
        <v>355</v>
      </c>
      <c r="S1" s="325"/>
      <c r="T1" s="325"/>
      <c r="U1" s="325" t="s">
        <v>355</v>
      </c>
      <c r="V1" s="325"/>
      <c r="W1" s="325"/>
      <c r="X1" s="20" t="s">
        <v>356</v>
      </c>
      <c r="Y1" s="325" t="s">
        <v>357</v>
      </c>
      <c r="Z1" s="325"/>
      <c r="AA1" s="325"/>
    </row>
    <row r="2" spans="1:27" s="20" customFormat="1" x14ac:dyDescent="0.2">
      <c r="A2" s="20" t="s">
        <v>358</v>
      </c>
      <c r="C2" s="20" t="s">
        <v>359</v>
      </c>
      <c r="D2" s="20" t="s">
        <v>360</v>
      </c>
      <c r="E2" s="20" t="s">
        <v>361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361</v>
      </c>
      <c r="J2" s="20" t="str">
        <f>F2</f>
        <v>Currency</v>
      </c>
      <c r="K2" s="20" t="s">
        <v>359</v>
      </c>
      <c r="L2" s="20" t="s">
        <v>360</v>
      </c>
      <c r="O2" s="325" t="s">
        <v>359</v>
      </c>
      <c r="P2" s="325"/>
      <c r="Q2" s="325"/>
      <c r="R2" s="325" t="s">
        <v>362</v>
      </c>
      <c r="S2" s="325"/>
      <c r="T2" s="325"/>
      <c r="U2" s="325" t="s">
        <v>361</v>
      </c>
      <c r="V2" s="325"/>
      <c r="W2" s="325"/>
      <c r="X2" s="20" t="s">
        <v>111</v>
      </c>
      <c r="Y2" s="325" t="s">
        <v>363</v>
      </c>
      <c r="Z2" s="325"/>
      <c r="AA2" s="325"/>
    </row>
    <row r="3" spans="1:27" s="20" customFormat="1" x14ac:dyDescent="0.2">
      <c r="A3" s="20" t="s">
        <v>358</v>
      </c>
      <c r="O3" s="245" t="s">
        <v>364</v>
      </c>
      <c r="P3" s="245" t="s">
        <v>365</v>
      </c>
      <c r="Q3" s="245" t="s">
        <v>366</v>
      </c>
      <c r="R3" s="245" t="str">
        <f>O3</f>
        <v>Minimum</v>
      </c>
      <c r="S3" s="245" t="str">
        <f t="shared" ref="S3:W3" si="0">P3</f>
        <v>Maximum</v>
      </c>
      <c r="T3" s="245" t="str">
        <f t="shared" si="0"/>
        <v>Avarage</v>
      </c>
      <c r="U3" s="245" t="str">
        <f t="shared" si="0"/>
        <v>Minimum</v>
      </c>
      <c r="V3" s="245" t="str">
        <f t="shared" si="0"/>
        <v>Maximum</v>
      </c>
      <c r="W3" s="245" t="str">
        <f t="shared" si="0"/>
        <v>Avarage</v>
      </c>
      <c r="Y3" s="20" t="s">
        <v>364</v>
      </c>
      <c r="Z3" s="20" t="s">
        <v>365</v>
      </c>
      <c r="AA3" s="20" t="s">
        <v>367</v>
      </c>
    </row>
    <row r="4" spans="1:27" x14ac:dyDescent="0.2">
      <c r="A4" s="20" t="s">
        <v>358</v>
      </c>
      <c r="B4" t="s">
        <v>368</v>
      </c>
      <c r="C4">
        <v>1093</v>
      </c>
      <c r="D4">
        <v>691</v>
      </c>
      <c r="F4" t="s">
        <v>369</v>
      </c>
      <c r="G4">
        <v>7.3999999999999996E-2</v>
      </c>
      <c r="H4">
        <v>4.2999999999999997E-2</v>
      </c>
      <c r="J4" t="s">
        <v>369</v>
      </c>
      <c r="K4" s="246">
        <v>0.219</v>
      </c>
      <c r="L4" s="246">
        <v>0.33800000000000002</v>
      </c>
      <c r="M4">
        <v>1.7</v>
      </c>
      <c r="N4">
        <v>1.34</v>
      </c>
      <c r="O4" s="112"/>
      <c r="P4" s="112"/>
      <c r="Q4" s="112"/>
      <c r="R4" s="112"/>
      <c r="S4" s="112">
        <v>0.17</v>
      </c>
      <c r="T4" s="112"/>
      <c r="U4" s="112"/>
      <c r="V4" s="112"/>
      <c r="W4" s="112"/>
      <c r="X4">
        <v>30</v>
      </c>
      <c r="AA4">
        <f>1125/(365*24)</f>
        <v>0.12842465753424659</v>
      </c>
    </row>
    <row r="5" spans="1:27" x14ac:dyDescent="0.2">
      <c r="A5" s="20" t="s">
        <v>358</v>
      </c>
      <c r="B5" t="s">
        <v>370</v>
      </c>
      <c r="C5">
        <v>2330</v>
      </c>
      <c r="D5">
        <v>2267</v>
      </c>
      <c r="E5">
        <v>824</v>
      </c>
      <c r="F5" t="s">
        <v>369</v>
      </c>
      <c r="G5">
        <v>6.2E-2</v>
      </c>
      <c r="H5">
        <v>5.7000000000000002E-2</v>
      </c>
      <c r="I5">
        <v>0.06</v>
      </c>
      <c r="J5" t="s">
        <v>369</v>
      </c>
      <c r="K5" s="246"/>
      <c r="L5" s="246"/>
      <c r="O5" s="112"/>
      <c r="P5" s="112"/>
      <c r="Q5" s="112"/>
      <c r="R5" s="112"/>
      <c r="S5" s="112">
        <v>0.48</v>
      </c>
      <c r="T5" s="112"/>
      <c r="U5" s="112"/>
      <c r="V5" s="112"/>
      <c r="W5" s="112">
        <v>0.35</v>
      </c>
    </row>
    <row r="6" spans="1:27" x14ac:dyDescent="0.2">
      <c r="A6" s="20" t="s">
        <v>358</v>
      </c>
      <c r="B6" t="s">
        <v>139</v>
      </c>
      <c r="C6">
        <v>1333</v>
      </c>
      <c r="D6">
        <v>1041</v>
      </c>
      <c r="E6">
        <v>1834</v>
      </c>
      <c r="F6" t="s">
        <v>369</v>
      </c>
      <c r="G6">
        <v>5.0999999999999997E-2</v>
      </c>
      <c r="H6">
        <v>3.4000000000000002E-2</v>
      </c>
      <c r="I6">
        <v>5.0999999999999997E-2</v>
      </c>
      <c r="J6" t="s">
        <v>369</v>
      </c>
      <c r="K6" s="246">
        <v>9.6000000000000002E-2</v>
      </c>
      <c r="L6" s="246">
        <v>0.25</v>
      </c>
      <c r="M6">
        <v>2.04</v>
      </c>
      <c r="N6">
        <v>1.52</v>
      </c>
      <c r="O6" s="112"/>
      <c r="P6" s="112"/>
      <c r="Q6" s="112">
        <v>0.44</v>
      </c>
      <c r="R6" s="112"/>
      <c r="S6" s="112">
        <v>0.34</v>
      </c>
      <c r="T6" s="112"/>
      <c r="U6" s="112"/>
      <c r="V6" s="112"/>
      <c r="W6" s="112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358</v>
      </c>
      <c r="B7" s="247" t="s">
        <v>371</v>
      </c>
      <c r="H7" s="247">
        <v>2.1000000000000001E-2</v>
      </c>
      <c r="I7" s="247"/>
      <c r="J7" t="s">
        <v>369</v>
      </c>
      <c r="O7" s="112"/>
      <c r="P7" s="112"/>
      <c r="Q7" s="112"/>
      <c r="R7" s="112"/>
      <c r="S7" s="112"/>
      <c r="T7" s="112"/>
      <c r="U7" s="112"/>
      <c r="V7" s="112"/>
      <c r="W7" s="112"/>
    </row>
    <row r="8" spans="1:27" ht="15.75" x14ac:dyDescent="0.25">
      <c r="A8" s="20" t="s">
        <v>358</v>
      </c>
      <c r="B8" s="247" t="s">
        <v>372</v>
      </c>
      <c r="H8" s="247">
        <v>7.9000000000000001E-2</v>
      </c>
      <c r="I8" s="247"/>
      <c r="J8" t="s">
        <v>369</v>
      </c>
      <c r="O8" s="112">
        <v>0.18</v>
      </c>
      <c r="P8" s="112">
        <v>0.3</v>
      </c>
      <c r="Q8" s="112">
        <f>(O8+P8)/2</f>
        <v>0.24</v>
      </c>
      <c r="R8" s="112"/>
      <c r="S8" s="112"/>
      <c r="T8" s="112"/>
      <c r="U8" s="112"/>
      <c r="V8" s="112"/>
      <c r="W8" s="112"/>
    </row>
    <row r="9" spans="1:27" ht="15.75" x14ac:dyDescent="0.25">
      <c r="A9" s="20" t="s">
        <v>358</v>
      </c>
      <c r="B9" s="154" t="s">
        <v>170</v>
      </c>
      <c r="H9" s="247">
        <v>0.11899999999999999</v>
      </c>
      <c r="I9" s="247"/>
      <c r="J9" t="s">
        <v>369</v>
      </c>
    </row>
    <row r="10" spans="1:27" x14ac:dyDescent="0.2">
      <c r="A10" s="20" t="s">
        <v>358</v>
      </c>
      <c r="B10" s="154" t="s">
        <v>373</v>
      </c>
      <c r="I10">
        <v>0.1</v>
      </c>
    </row>
    <row r="11" spans="1:27" x14ac:dyDescent="0.2">
      <c r="A11" s="20" t="s">
        <v>358</v>
      </c>
      <c r="B11" s="154" t="s">
        <v>374</v>
      </c>
      <c r="I11">
        <v>0.33</v>
      </c>
    </row>
    <row r="12" spans="1:27" ht="15.75" x14ac:dyDescent="0.25">
      <c r="A12" s="20" t="s">
        <v>358</v>
      </c>
      <c r="B12" s="154" t="s">
        <v>375</v>
      </c>
      <c r="D12">
        <v>3677</v>
      </c>
      <c r="H12" s="247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358</v>
      </c>
      <c r="B13" s="154" t="s">
        <v>376</v>
      </c>
      <c r="D13">
        <v>3242</v>
      </c>
      <c r="H13" s="247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358</v>
      </c>
      <c r="B14" s="154" t="s">
        <v>377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3" t="str">
        <f t="shared" si="1"/>
        <v>Installation Cost per kW</v>
      </c>
      <c r="D17" s="323"/>
      <c r="E17" s="323"/>
      <c r="F17" s="323"/>
      <c r="G17" t="s">
        <v>378</v>
      </c>
      <c r="H17" t="s">
        <v>379</v>
      </c>
      <c r="I17" t="s">
        <v>380</v>
      </c>
      <c r="J17" t="s">
        <v>381</v>
      </c>
      <c r="K17" t="s">
        <v>382</v>
      </c>
      <c r="L17" t="s">
        <v>109</v>
      </c>
      <c r="M17" t="s">
        <v>383</v>
      </c>
      <c r="N17" t="s">
        <v>384</v>
      </c>
      <c r="O17" t="s">
        <v>385</v>
      </c>
    </row>
    <row r="18" spans="1:16" x14ac:dyDescent="0.2">
      <c r="C18" s="248"/>
      <c r="D18" s="248"/>
      <c r="E18" s="248" t="s">
        <v>386</v>
      </c>
      <c r="F18" s="248"/>
      <c r="G18" t="s">
        <v>386</v>
      </c>
      <c r="H18" t="s">
        <v>386</v>
      </c>
      <c r="I18" s="248" t="s">
        <v>387</v>
      </c>
      <c r="J18" s="248" t="s">
        <v>387</v>
      </c>
      <c r="K18" s="248" t="s">
        <v>387</v>
      </c>
      <c r="L18" s="248"/>
      <c r="M18" s="248" t="s">
        <v>111</v>
      </c>
      <c r="N18" s="248" t="s">
        <v>388</v>
      </c>
      <c r="O18" s="248" t="s">
        <v>388</v>
      </c>
      <c r="P18" s="248"/>
    </row>
    <row r="19" spans="1:16" x14ac:dyDescent="0.2">
      <c r="A19" t="s">
        <v>389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361</v>
      </c>
      <c r="I19" t="str">
        <f>I2</f>
        <v>Ethiopia</v>
      </c>
      <c r="J19" t="s">
        <v>361</v>
      </c>
      <c r="K19" t="s">
        <v>361</v>
      </c>
      <c r="L19" t="s">
        <v>361</v>
      </c>
      <c r="M19" t="s">
        <v>349</v>
      </c>
      <c r="P19">
        <f>P2</f>
        <v>0</v>
      </c>
    </row>
    <row r="20" spans="1:16" x14ac:dyDescent="0.2">
      <c r="A20" t="s">
        <v>390</v>
      </c>
      <c r="B20" t="s">
        <v>391</v>
      </c>
      <c r="E20">
        <v>2770</v>
      </c>
      <c r="F20" t="s">
        <v>386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392</v>
      </c>
      <c r="B21" t="s">
        <v>370</v>
      </c>
      <c r="E21">
        <v>2000</v>
      </c>
      <c r="F21" t="s">
        <v>386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393</v>
      </c>
      <c r="B22" t="s">
        <v>394</v>
      </c>
      <c r="E22">
        <v>2900</v>
      </c>
      <c r="F22" t="s">
        <v>386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395</v>
      </c>
      <c r="B23" t="s">
        <v>396</v>
      </c>
      <c r="E23">
        <v>1100</v>
      </c>
      <c r="F23" t="s">
        <v>386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397</v>
      </c>
      <c r="B24" t="s">
        <v>398</v>
      </c>
      <c r="E24">
        <v>1700</v>
      </c>
      <c r="F24" t="s">
        <v>386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399</v>
      </c>
      <c r="B25" t="s">
        <v>121</v>
      </c>
      <c r="E25">
        <v>3333</v>
      </c>
      <c r="F25" t="s">
        <v>386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400</v>
      </c>
      <c r="B26" t="s">
        <v>401</v>
      </c>
      <c r="E26">
        <v>5238</v>
      </c>
      <c r="F26" t="s">
        <v>386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402</v>
      </c>
      <c r="B31" t="s">
        <v>402</v>
      </c>
      <c r="C31" t="s">
        <v>403</v>
      </c>
    </row>
    <row r="32" spans="1:16" x14ac:dyDescent="0.2">
      <c r="C32" t="s">
        <v>404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389</v>
      </c>
      <c r="B34" t="s">
        <v>405</v>
      </c>
      <c r="C34">
        <f>7.66/0.0002777778</f>
        <v>27575.997793920178</v>
      </c>
    </row>
    <row r="35" spans="1:6" x14ac:dyDescent="0.2">
      <c r="A35" t="s">
        <v>389</v>
      </c>
      <c r="B35" t="s">
        <v>406</v>
      </c>
      <c r="C35">
        <f>18.8/0.0002777778</f>
        <v>67679.994585600434</v>
      </c>
    </row>
    <row r="36" spans="1:6" x14ac:dyDescent="0.2">
      <c r="A36" t="s">
        <v>407</v>
      </c>
      <c r="B36" t="s">
        <v>408</v>
      </c>
      <c r="C36">
        <f>8.121/0.0002777778</f>
        <v>29235.597661152191</v>
      </c>
    </row>
    <row r="37" spans="1:6" x14ac:dyDescent="0.2">
      <c r="A37" t="s">
        <v>409</v>
      </c>
      <c r="B37" t="s">
        <v>410</v>
      </c>
      <c r="C37">
        <f>1.263/0.0002777778</f>
        <v>4546.7996362560289</v>
      </c>
    </row>
    <row r="38" spans="1:6" x14ac:dyDescent="0.2">
      <c r="A38" t="s">
        <v>411</v>
      </c>
      <c r="B38" t="s">
        <v>292</v>
      </c>
      <c r="C38">
        <f>5.835/0.0002777778</f>
        <v>21005.998319520135</v>
      </c>
    </row>
    <row r="42" spans="1:6" x14ac:dyDescent="0.2">
      <c r="A42" s="154" t="s">
        <v>412</v>
      </c>
      <c r="B42" s="154" t="s">
        <v>413</v>
      </c>
      <c r="C42" s="324" t="s">
        <v>413</v>
      </c>
      <c r="D42" s="324"/>
      <c r="E42" s="324"/>
    </row>
    <row r="43" spans="1:6" x14ac:dyDescent="0.2">
      <c r="A43" s="154"/>
      <c r="B43" s="154" t="s">
        <v>364</v>
      </c>
      <c r="C43" s="154" t="s">
        <v>364</v>
      </c>
      <c r="D43" s="154" t="s">
        <v>365</v>
      </c>
      <c r="E43" s="154" t="s">
        <v>349</v>
      </c>
      <c r="F43" s="154" t="s">
        <v>414</v>
      </c>
    </row>
    <row r="44" spans="1:6" x14ac:dyDescent="0.2">
      <c r="A44" s="154" t="s">
        <v>415</v>
      </c>
      <c r="B44" s="154" t="s">
        <v>416</v>
      </c>
      <c r="E44">
        <v>0.35</v>
      </c>
    </row>
    <row r="45" spans="1:6" s="155" customFormat="1" x14ac:dyDescent="0.2">
      <c r="A45" s="155" t="s">
        <v>417</v>
      </c>
      <c r="B45" s="155" t="s">
        <v>418</v>
      </c>
      <c r="C45" s="155">
        <v>0.8</v>
      </c>
      <c r="D45" s="155">
        <v>0.9</v>
      </c>
      <c r="E45" s="155">
        <v>0.84</v>
      </c>
    </row>
    <row r="46" spans="1:6" s="155" customFormat="1" x14ac:dyDescent="0.2">
      <c r="A46" s="155" t="s">
        <v>417</v>
      </c>
      <c r="B46" s="155" t="s">
        <v>419</v>
      </c>
      <c r="C46" s="155">
        <v>0.95</v>
      </c>
      <c r="D46" s="155">
        <v>1</v>
      </c>
      <c r="E46" s="155">
        <v>0.96</v>
      </c>
    </row>
    <row r="47" spans="1:6" x14ac:dyDescent="0.2">
      <c r="A47" t="s">
        <v>420</v>
      </c>
      <c r="B47" s="154" t="s">
        <v>421</v>
      </c>
      <c r="C47">
        <v>0.8</v>
      </c>
      <c r="D47">
        <v>0.85</v>
      </c>
      <c r="F47">
        <v>0.59299999999999997</v>
      </c>
    </row>
    <row r="48" spans="1:6" x14ac:dyDescent="0.2">
      <c r="A48" t="s">
        <v>422</v>
      </c>
      <c r="B48" s="154" t="s">
        <v>421</v>
      </c>
      <c r="C48">
        <v>0.8</v>
      </c>
      <c r="D48">
        <v>0.81</v>
      </c>
    </row>
    <row r="49" spans="1:6" x14ac:dyDescent="0.2">
      <c r="A49" s="249" t="s">
        <v>423</v>
      </c>
      <c r="B49" s="154" t="s">
        <v>424</v>
      </c>
      <c r="C49">
        <v>0.85</v>
      </c>
      <c r="D49">
        <v>0.87</v>
      </c>
      <c r="F49">
        <v>0.79200000000000004</v>
      </c>
    </row>
    <row r="50" spans="1:6" x14ac:dyDescent="0.2">
      <c r="A50" s="249" t="s">
        <v>423</v>
      </c>
      <c r="B50" s="154" t="s">
        <v>425</v>
      </c>
      <c r="C50">
        <v>0.85</v>
      </c>
      <c r="D50">
        <v>0.87</v>
      </c>
      <c r="F50">
        <v>0.80900000000000005</v>
      </c>
    </row>
    <row r="51" spans="1:6" x14ac:dyDescent="0.2">
      <c r="A51" s="249" t="s">
        <v>426</v>
      </c>
      <c r="B51" s="154" t="s">
        <v>427</v>
      </c>
      <c r="E51">
        <v>0.85</v>
      </c>
      <c r="F51">
        <v>0.76100000000000001</v>
      </c>
    </row>
    <row r="52" spans="1:6" x14ac:dyDescent="0.2">
      <c r="A52" t="s">
        <v>428</v>
      </c>
      <c r="B52" s="154" t="s">
        <v>429</v>
      </c>
      <c r="E52">
        <v>0.51039999999999996</v>
      </c>
    </row>
    <row r="53" spans="1:6" x14ac:dyDescent="0.2">
      <c r="A53" s="249" t="s">
        <v>430</v>
      </c>
      <c r="B53" s="154" t="s">
        <v>431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253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2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10:11" x14ac:dyDescent="0.2">
      <c r="J49" s="112"/>
      <c r="K49" s="115"/>
    </row>
    <row r="50" spans="10:11" x14ac:dyDescent="0.2">
      <c r="J50" s="112"/>
      <c r="K50" s="115"/>
    </row>
    <row r="51" spans="10:11" x14ac:dyDescent="0.2">
      <c r="J51" s="112"/>
      <c r="K51" s="115"/>
    </row>
    <row r="52" spans="10:11" x14ac:dyDescent="0.2">
      <c r="J52" s="112"/>
      <c r="K52" s="115"/>
    </row>
    <row r="53" spans="10:11" x14ac:dyDescent="0.2">
      <c r="J53" s="112"/>
      <c r="K53" s="115"/>
    </row>
    <row r="54" spans="10:11" x14ac:dyDescent="0.2">
      <c r="J54" s="112"/>
      <c r="K54" s="115"/>
    </row>
    <row r="55" spans="10:11" x14ac:dyDescent="0.2">
      <c r="J55" s="112"/>
      <c r="K55" s="115"/>
    </row>
    <row r="56" spans="10:11" x14ac:dyDescent="0.2">
      <c r="J56" s="112"/>
      <c r="K56" s="115"/>
    </row>
    <row r="57" spans="10:11" x14ac:dyDescent="0.2">
      <c r="J57" s="112"/>
      <c r="K57" s="115"/>
    </row>
    <row r="58" spans="10:11" x14ac:dyDescent="0.2">
      <c r="J58" s="112"/>
      <c r="K58" s="115"/>
    </row>
    <row r="59" spans="10:11" x14ac:dyDescent="0.2">
      <c r="J59" s="112"/>
      <c r="K59" s="115"/>
    </row>
    <row r="60" spans="10:11" x14ac:dyDescent="0.2">
      <c r="J60" s="112"/>
      <c r="K60" s="115"/>
    </row>
    <row r="61" spans="10:11" x14ac:dyDescent="0.2">
      <c r="J61" s="112"/>
      <c r="K61" s="115"/>
    </row>
    <row r="62" spans="10:11" x14ac:dyDescent="0.2">
      <c r="J62" s="112"/>
      <c r="K62" s="115"/>
    </row>
    <row r="63" spans="10:11" x14ac:dyDescent="0.2">
      <c r="J63" s="112"/>
      <c r="K63" s="115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3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3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253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3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4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5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5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5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6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7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6"/>
      <c r="E11" s="126">
        <f>'EBF TJ'!E11*0.2777778</f>
        <v>-2.0000001600000004</v>
      </c>
      <c r="F11" s="126">
        <f>'EBF TJ'!F11*0.2777778</f>
        <v>-16770.812452776001</v>
      </c>
      <c r="G11" s="278"/>
      <c r="H11" s="126"/>
      <c r="I11" s="126"/>
      <c r="J11" s="126"/>
      <c r="K11" s="126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7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9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7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7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7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5" customFormat="1" x14ac:dyDescent="0.25">
      <c r="B18" s="141" t="s">
        <v>130</v>
      </c>
      <c r="C18" s="142" t="s">
        <v>131</v>
      </c>
      <c r="D18" s="143">
        <f>'EBF TJ'!D18*0.2777778</f>
        <v>7676.2275585426005</v>
      </c>
      <c r="E18" s="143">
        <f>'EBF TJ'!E18*0.2777778</f>
        <v>2605.1202084096003</v>
      </c>
      <c r="F18" s="143">
        <f>'EBF TJ'!F18*0.2777778</f>
        <v>0</v>
      </c>
      <c r="G18" s="277">
        <f>'EBF TJ'!G18*0.2777778</f>
        <v>0</v>
      </c>
      <c r="H18" s="143">
        <f>'EBF TJ'!H18*0.2777778</f>
        <v>0</v>
      </c>
      <c r="I18" s="143">
        <f>'EBF TJ'!I18*0.2777778</f>
        <v>0</v>
      </c>
      <c r="J18" s="143">
        <f>'EBF TJ'!J18*0.2777778</f>
        <v>2861.5612011470998</v>
      </c>
      <c r="K18" s="144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7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7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7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7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7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7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80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7"/>
      <c r="H26" s="5"/>
      <c r="I26" s="5"/>
      <c r="J26" s="5"/>
      <c r="K26" s="5"/>
    </row>
    <row r="27" spans="2:13" x14ac:dyDescent="0.25">
      <c r="D27" s="5"/>
      <c r="E27" s="5"/>
      <c r="F27" s="5"/>
      <c r="G27" s="277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7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7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7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7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7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7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7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7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7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7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7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7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2">
        <f>E18/(E18)</f>
        <v>1</v>
      </c>
      <c r="F40" s="5"/>
      <c r="G40" s="277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3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3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2">
        <f>D18/(D18+E18)</f>
        <v>0.7466168572973132</v>
      </c>
      <c r="E46" s="112"/>
      <c r="K46" s="115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2">
        <f>E18/(D18+E18)</f>
        <v>0.25338314270268686</v>
      </c>
      <c r="J47" s="112"/>
      <c r="K47" s="115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2">
        <v>1</v>
      </c>
      <c r="K48" s="115">
        <f>SUM(D48:J48)</f>
        <v>1</v>
      </c>
      <c r="L48" t="s">
        <v>165</v>
      </c>
    </row>
    <row r="49" spans="2:16" x14ac:dyDescent="0.25">
      <c r="J49" s="112"/>
      <c r="K49" s="115"/>
    </row>
    <row r="50" spans="2:16" x14ac:dyDescent="0.25">
      <c r="J50" s="112"/>
      <c r="K50" s="115" t="s">
        <v>441</v>
      </c>
      <c r="L50" t="s">
        <v>442</v>
      </c>
    </row>
    <row r="51" spans="2:16" x14ac:dyDescent="0.25">
      <c r="C51" t="s">
        <v>432</v>
      </c>
      <c r="D51">
        <v>2019</v>
      </c>
      <c r="E51">
        <v>2020</v>
      </c>
      <c r="F51">
        <v>2021</v>
      </c>
      <c r="G51" s="193">
        <v>2022</v>
      </c>
      <c r="H51">
        <v>2023</v>
      </c>
      <c r="I51" t="s">
        <v>440</v>
      </c>
      <c r="J51" s="112" t="s">
        <v>439</v>
      </c>
      <c r="K51" s="115" t="s">
        <v>309</v>
      </c>
      <c r="M51" t="s">
        <v>455</v>
      </c>
      <c r="N51" t="s">
        <v>456</v>
      </c>
      <c r="O51" t="s">
        <v>457</v>
      </c>
      <c r="P51" t="s">
        <v>468</v>
      </c>
    </row>
    <row r="52" spans="2:16" x14ac:dyDescent="0.25">
      <c r="C52" t="s">
        <v>433</v>
      </c>
      <c r="D52" s="251">
        <f>'Energybalance history'!B70</f>
        <v>4409.7833333333328</v>
      </c>
      <c r="E52" s="251">
        <f>'Energybalance history'!C70</f>
        <v>1606.5130555555556</v>
      </c>
      <c r="F52" s="251">
        <f>'Energybalance history'!D70</f>
        <v>1731.2883333333332</v>
      </c>
      <c r="G52" s="281">
        <f>'Energybalance history'!E70</f>
        <v>4518.3999999999996</v>
      </c>
      <c r="H52" s="251">
        <f>'Energybalance history'!F70</f>
        <v>4993.4055555555551</v>
      </c>
      <c r="I52" s="250">
        <f>G52/E52</f>
        <v>2.8125510616765395</v>
      </c>
      <c r="J52" s="250">
        <f>1/(G$51-E$51)</f>
        <v>0.5</v>
      </c>
      <c r="K52" s="252">
        <f>(I52^J52)-1</f>
        <v>0.67706620670638396</v>
      </c>
      <c r="L52" s="112">
        <f>(I52-1)/(G$51-E$51)</f>
        <v>0.90627553083826973</v>
      </c>
      <c r="M52" s="112">
        <f>(F52/E52-1)^1</f>
        <v>7.7668387036312181E-2</v>
      </c>
      <c r="N52" s="112">
        <f t="shared" ref="N52:O57" si="3">(G52/F52-1)^1</f>
        <v>1.6098483499282326</v>
      </c>
      <c r="O52" s="112">
        <f t="shared" si="3"/>
        <v>0.10512693775574444</v>
      </c>
      <c r="P52" s="115">
        <f>(M52+N52+O52)/3</f>
        <v>0.59754789157342969</v>
      </c>
    </row>
    <row r="53" spans="2:16" x14ac:dyDescent="0.25">
      <c r="C53" t="s">
        <v>434</v>
      </c>
      <c r="D53" s="251">
        <f>'Energybalance history'!B71</f>
        <v>37.867222222222225</v>
      </c>
      <c r="E53" s="251">
        <f>'Energybalance history'!C71</f>
        <v>2300.2186111111109</v>
      </c>
      <c r="F53" s="251">
        <f>'Energybalance history'!D71</f>
        <v>3128.15</v>
      </c>
      <c r="G53" s="281">
        <f>'Energybalance history'!E71</f>
        <v>3157.661111111111</v>
      </c>
      <c r="H53" s="251">
        <f>'Energybalance history'!F71</f>
        <v>3157.661111111111</v>
      </c>
      <c r="I53" s="250">
        <f t="shared" ref="I53:I61" si="4">G53/E53</f>
        <v>1.372765656211179</v>
      </c>
      <c r="J53" s="250">
        <f t="shared" ref="J53:J68" si="5">1/(G$51-E$51)</f>
        <v>0.5</v>
      </c>
      <c r="K53" s="252">
        <f t="shared" ref="K53:K68" si="6">(I53^J53)-1</f>
        <v>0.17165082520825248</v>
      </c>
      <c r="L53" s="112">
        <f t="shared" ref="L53:L63" si="7">(I53-1)/(G$51-E$51)</f>
        <v>0.18638282810558948</v>
      </c>
      <c r="M53" s="112">
        <f t="shared" ref="M53:M57" si="8">(F53/E53-1)^1</f>
        <v>0.35993595777792642</v>
      </c>
      <c r="N53" s="112">
        <f t="shared" si="3"/>
        <v>9.4340460371500345E-3</v>
      </c>
      <c r="O53" s="112">
        <f t="shared" si="3"/>
        <v>0</v>
      </c>
      <c r="P53" s="115">
        <f t="shared" ref="P53:P57" si="9">(M53+N53+O53)/3</f>
        <v>0.12312333460502549</v>
      </c>
    </row>
    <row r="54" spans="2:16" s="303" customFormat="1" x14ac:dyDescent="0.25">
      <c r="C54" s="303" t="s">
        <v>435</v>
      </c>
      <c r="D54" s="304">
        <f>'Energybalance history'!B69</f>
        <v>2533.3338888888889</v>
      </c>
      <c r="E54" s="304">
        <f>'Energybalance history'!C69</f>
        <v>2518.2216666666668</v>
      </c>
      <c r="F54" s="304">
        <f>'Energybalance history'!D69</f>
        <v>2531.5555555555557</v>
      </c>
      <c r="G54" s="305">
        <f>'Energybalance history'!E69</f>
        <v>2605.1200000000003</v>
      </c>
      <c r="H54" s="304">
        <f>'Energybalance history'!F69</f>
        <v>2791.9466666666667</v>
      </c>
      <c r="I54" s="306">
        <f t="shared" si="4"/>
        <v>1.0345078173552369</v>
      </c>
      <c r="J54" s="306">
        <f t="shared" si="5"/>
        <v>0.5</v>
      </c>
      <c r="K54" s="307">
        <f t="shared" si="6"/>
        <v>1.7107574131289605E-2</v>
      </c>
      <c r="L54" s="308">
        <f t="shared" si="7"/>
        <v>1.7253908677618446E-2</v>
      </c>
      <c r="M54" s="309">
        <f t="shared" si="8"/>
        <v>5.2949623400464496E-3</v>
      </c>
      <c r="N54" s="309">
        <f t="shared" si="3"/>
        <v>2.9058988764045113E-2</v>
      </c>
      <c r="O54" s="309">
        <f t="shared" si="3"/>
        <v>7.1715186504524242E-2</v>
      </c>
      <c r="P54" s="310">
        <f t="shared" si="9"/>
        <v>3.5356379202871935E-2</v>
      </c>
    </row>
    <row r="55" spans="2:16" s="295" customFormat="1" x14ac:dyDescent="0.25">
      <c r="C55" s="295" t="s">
        <v>438</v>
      </c>
      <c r="D55" s="296">
        <f>'Energybalance history'!B68</f>
        <v>2791.0050000000001</v>
      </c>
      <c r="E55" s="296">
        <f>'Energybalance history'!C68</f>
        <v>2430.2799722222217</v>
      </c>
      <c r="F55" s="296">
        <f>'Energybalance history'!D68</f>
        <v>2683.0269444444443</v>
      </c>
      <c r="G55" s="297">
        <f>'Energybalance history'!E68</f>
        <v>2861.5609722222221</v>
      </c>
      <c r="H55" s="296">
        <f>'Energybalance history'!F68</f>
        <v>3440.232361111111</v>
      </c>
      <c r="I55" s="298">
        <f t="shared" si="4"/>
        <v>1.1774614468001567</v>
      </c>
      <c r="J55" s="298">
        <f t="shared" si="5"/>
        <v>0.5</v>
      </c>
      <c r="K55" s="299">
        <f t="shared" si="6"/>
        <v>8.5108956188343576E-2</v>
      </c>
      <c r="L55" s="300">
        <f t="shared" si="7"/>
        <v>8.8730723400078371E-2</v>
      </c>
      <c r="M55" s="301">
        <f t="shared" si="8"/>
        <v>0.10399911743136059</v>
      </c>
      <c r="N55" s="301">
        <f t="shared" si="3"/>
        <v>6.6542018203527675E-2</v>
      </c>
      <c r="O55" s="301">
        <f t="shared" si="3"/>
        <v>0.20222228165192857</v>
      </c>
      <c r="P55" s="302">
        <f t="shared" si="9"/>
        <v>0.12425447242893894</v>
      </c>
    </row>
    <row r="56" spans="2:16" s="288" customFormat="1" x14ac:dyDescent="0.25">
      <c r="C56" s="288" t="s">
        <v>293</v>
      </c>
      <c r="D56" s="289">
        <f>D52+D53</f>
        <v>4447.650555555555</v>
      </c>
      <c r="E56" s="289">
        <f t="shared" ref="E56:H56" si="10">E52+E53</f>
        <v>3906.7316666666666</v>
      </c>
      <c r="F56" s="289">
        <f t="shared" si="10"/>
        <v>4859.4383333333335</v>
      </c>
      <c r="G56" s="290">
        <f t="shared" si="10"/>
        <v>7676.0611111111102</v>
      </c>
      <c r="H56" s="289">
        <f t="shared" si="10"/>
        <v>8151.0666666666657</v>
      </c>
      <c r="I56" s="291">
        <f t="shared" si="4"/>
        <v>1.9648293678845217</v>
      </c>
      <c r="J56" s="291">
        <f t="shared" si="5"/>
        <v>0.5</v>
      </c>
      <c r="K56" s="292">
        <f t="shared" si="6"/>
        <v>0.40172371310630317</v>
      </c>
      <c r="L56" s="293">
        <f t="shared" si="7"/>
        <v>0.48241468394226084</v>
      </c>
      <c r="M56" s="293">
        <f t="shared" si="8"/>
        <v>0.2438628367531428</v>
      </c>
      <c r="N56" s="293">
        <f t="shared" si="3"/>
        <v>0.57961899803463779</v>
      </c>
      <c r="O56" s="293">
        <f t="shared" si="3"/>
        <v>6.1881419217466149E-2</v>
      </c>
      <c r="P56" s="294">
        <f t="shared" si="9"/>
        <v>0.29512108466841558</v>
      </c>
    </row>
    <row r="57" spans="2:16" x14ac:dyDescent="0.25">
      <c r="C57" t="s">
        <v>443</v>
      </c>
      <c r="D57" s="251">
        <f>D54+D56</f>
        <v>6980.9844444444443</v>
      </c>
      <c r="E57" s="251">
        <f t="shared" ref="E57:H57" si="11">E54+E56</f>
        <v>6424.9533333333329</v>
      </c>
      <c r="F57" s="251">
        <f t="shared" si="11"/>
        <v>7390.9938888888892</v>
      </c>
      <c r="G57" s="281">
        <f t="shared" si="11"/>
        <v>10281.181111111111</v>
      </c>
      <c r="H57" s="251">
        <f t="shared" si="11"/>
        <v>10943.013333333332</v>
      </c>
      <c r="I57" s="250">
        <f t="shared" si="4"/>
        <v>1.6001954532138409</v>
      </c>
      <c r="J57" s="250">
        <f t="shared" si="5"/>
        <v>0.5</v>
      </c>
      <c r="K57" s="252">
        <f t="shared" si="6"/>
        <v>0.26498832137448636</v>
      </c>
      <c r="L57" s="112">
        <f t="shared" si="7"/>
        <v>0.30009772660692047</v>
      </c>
      <c r="M57" s="112">
        <f t="shared" si="8"/>
        <v>0.15035759879276256</v>
      </c>
      <c r="N57" s="112">
        <f t="shared" si="3"/>
        <v>0.3910417550969878</v>
      </c>
      <c r="O57" s="112">
        <f t="shared" si="3"/>
        <v>6.4373170268050561E-2</v>
      </c>
      <c r="P57" s="115">
        <f t="shared" si="9"/>
        <v>0.20192417471926696</v>
      </c>
    </row>
    <row r="58" spans="2:16" x14ac:dyDescent="0.25">
      <c r="C58" t="s">
        <v>437</v>
      </c>
      <c r="I58" s="250"/>
      <c r="J58" s="250"/>
      <c r="K58" s="252"/>
      <c r="L58" s="112"/>
      <c r="M58" s="112"/>
      <c r="N58" s="112"/>
      <c r="O58" s="112"/>
      <c r="P58" s="115"/>
    </row>
    <row r="59" spans="2:16" x14ac:dyDescent="0.25">
      <c r="C59" t="s">
        <v>436</v>
      </c>
      <c r="I59" s="250"/>
      <c r="J59" s="250"/>
      <c r="K59" s="252"/>
      <c r="L59" s="112"/>
      <c r="M59" s="112"/>
      <c r="N59" s="112"/>
      <c r="O59" s="112"/>
      <c r="P59" s="115"/>
    </row>
    <row r="60" spans="2:16" x14ac:dyDescent="0.25">
      <c r="C60" t="s">
        <v>444</v>
      </c>
      <c r="I60" s="250"/>
      <c r="J60" s="250"/>
      <c r="K60" s="252"/>
      <c r="L60" s="112"/>
      <c r="M60" s="112"/>
      <c r="N60" s="112"/>
      <c r="O60" s="112"/>
      <c r="P60" s="115"/>
    </row>
    <row r="61" spans="2:16" x14ac:dyDescent="0.25">
      <c r="B61" t="s">
        <v>109</v>
      </c>
      <c r="C61" t="s">
        <v>458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3">
        <f t="shared" si="12"/>
        <v>2022</v>
      </c>
      <c r="H61">
        <f t="shared" si="12"/>
        <v>2023</v>
      </c>
      <c r="I61" s="250">
        <f t="shared" si="4"/>
        <v>1.000990099009901</v>
      </c>
      <c r="J61" s="250">
        <f t="shared" si="5"/>
        <v>0.5</v>
      </c>
      <c r="K61" s="252">
        <f t="shared" si="6"/>
        <v>4.9492702856879234E-4</v>
      </c>
      <c r="L61" s="112">
        <f t="shared" si="7"/>
        <v>4.9504950495049549E-4</v>
      </c>
      <c r="M61" s="112"/>
      <c r="N61" s="112"/>
      <c r="O61" s="112"/>
      <c r="P61" s="115"/>
    </row>
    <row r="62" spans="2:16" ht="12.75" x14ac:dyDescent="0.2">
      <c r="C62" t="s">
        <v>449</v>
      </c>
      <c r="D62" s="251">
        <f>D54</f>
        <v>2533.3338888888889</v>
      </c>
      <c r="E62" s="251">
        <f t="shared" ref="E62:H62" si="13">E54</f>
        <v>2518.2216666666668</v>
      </c>
      <c r="F62" s="251">
        <f t="shared" si="13"/>
        <v>2531.5555555555557</v>
      </c>
      <c r="G62" s="251">
        <f t="shared" si="13"/>
        <v>2605.1200000000003</v>
      </c>
      <c r="H62" s="251">
        <f t="shared" si="13"/>
        <v>2791.9466666666667</v>
      </c>
      <c r="I62" s="250">
        <f>H62/G62</f>
        <v>1.0717151865045242</v>
      </c>
      <c r="J62" s="250">
        <f t="shared" si="5"/>
        <v>0.5</v>
      </c>
      <c r="K62" s="252">
        <f t="shared" si="6"/>
        <v>3.5236777990679924E-2</v>
      </c>
      <c r="L62" s="112">
        <f t="shared" si="7"/>
        <v>3.5857593252262121E-2</v>
      </c>
      <c r="M62" s="112">
        <f>(M54+N54+O54)/3</f>
        <v>3.5356379202871935E-2</v>
      </c>
      <c r="N62" s="112"/>
      <c r="O62" s="112"/>
      <c r="P62" s="115"/>
    </row>
    <row r="63" spans="2:16" ht="12.75" x14ac:dyDescent="0.2">
      <c r="C63" t="s">
        <v>438</v>
      </c>
      <c r="D63" s="251">
        <f>D55</f>
        <v>2791.0050000000001</v>
      </c>
      <c r="E63" s="251">
        <f t="shared" ref="E63:G63" si="14">E55</f>
        <v>2430.2799722222217</v>
      </c>
      <c r="F63" s="251">
        <f t="shared" si="14"/>
        <v>2683.0269444444443</v>
      </c>
      <c r="G63" s="251">
        <f t="shared" si="14"/>
        <v>2861.5609722222221</v>
      </c>
      <c r="H63" s="251">
        <f t="shared" ref="H63" si="15">H55</f>
        <v>3440.232361111111</v>
      </c>
      <c r="I63" s="250">
        <f>H63/G63</f>
        <v>1.2022222816519286</v>
      </c>
      <c r="J63" s="250">
        <f t="shared" si="5"/>
        <v>0.5</v>
      </c>
      <c r="K63" s="252">
        <f t="shared" si="6"/>
        <v>9.6458973993978736E-2</v>
      </c>
      <c r="L63" s="112">
        <f t="shared" si="7"/>
        <v>0.10111114082596429</v>
      </c>
      <c r="M63" s="112">
        <f>(M55+N55+O55)/3</f>
        <v>0.12425447242893894</v>
      </c>
      <c r="N63" s="112"/>
      <c r="O63" s="112"/>
      <c r="P63" s="115"/>
    </row>
    <row r="64" spans="2:16" ht="12.75" x14ac:dyDescent="0.2">
      <c r="C64" t="s">
        <v>450</v>
      </c>
      <c r="D64" s="251">
        <f>D56</f>
        <v>4447.650555555555</v>
      </c>
      <c r="E64" s="251">
        <f t="shared" ref="E64:G64" si="16">E56</f>
        <v>3906.7316666666666</v>
      </c>
      <c r="F64" s="251">
        <f t="shared" si="16"/>
        <v>4859.4383333333335</v>
      </c>
      <c r="G64" s="251">
        <f t="shared" si="16"/>
        <v>7676.0611111111102</v>
      </c>
      <c r="H64" s="251">
        <f t="shared" ref="H64" si="17">0.55*H56</f>
        <v>4483.0866666666661</v>
      </c>
      <c r="I64" s="250">
        <f>H64/G64</f>
        <v>0.58403478056960634</v>
      </c>
      <c r="J64" s="250">
        <f t="shared" si="5"/>
        <v>0.5</v>
      </c>
      <c r="K64" s="252">
        <f t="shared" si="6"/>
        <v>-0.23577831712937747</v>
      </c>
      <c r="L64" s="112">
        <f>(I64-1)/(H$51-G$51)</f>
        <v>-0.41596521943039366</v>
      </c>
      <c r="M64" s="112">
        <f>(M56+N56+O56)/3</f>
        <v>0.29512108466841558</v>
      </c>
      <c r="N64" s="112"/>
      <c r="O64" s="112"/>
      <c r="P64" s="115"/>
    </row>
    <row r="65" spans="2:16" x14ac:dyDescent="0.25">
      <c r="D65" s="251"/>
      <c r="E65" s="251"/>
      <c r="F65" s="251"/>
      <c r="G65" s="281"/>
      <c r="H65" s="251"/>
      <c r="I65" s="250"/>
      <c r="J65" s="250"/>
      <c r="K65" s="252"/>
      <c r="L65" s="112"/>
      <c r="M65" s="112"/>
      <c r="N65" s="112"/>
      <c r="O65" s="112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3">
        <f t="shared" si="18"/>
        <v>2022</v>
      </c>
      <c r="H66">
        <f t="shared" si="18"/>
        <v>2023</v>
      </c>
      <c r="I66" s="250"/>
      <c r="J66" s="250"/>
      <c r="K66" s="252"/>
      <c r="L66" s="112"/>
      <c r="M66" s="112" t="str">
        <f>M51</f>
        <v>20-21</v>
      </c>
      <c r="N66" s="112" t="str">
        <f t="shared" ref="N66:O66" si="19">N51</f>
        <v>21-22</v>
      </c>
      <c r="O66" s="112" t="str">
        <f t="shared" si="19"/>
        <v>22-23</v>
      </c>
      <c r="P66" t="s">
        <v>349</v>
      </c>
    </row>
    <row r="67" spans="2:16" x14ac:dyDescent="0.25">
      <c r="C67" t="s">
        <v>459</v>
      </c>
      <c r="D67" s="251">
        <f>D62+D64</f>
        <v>6980.9844444444443</v>
      </c>
      <c r="E67" s="251">
        <f t="shared" ref="E67:H67" si="20">E62+E64</f>
        <v>6424.9533333333329</v>
      </c>
      <c r="F67" s="251">
        <f t="shared" si="20"/>
        <v>7390.9938888888892</v>
      </c>
      <c r="G67" s="281">
        <f t="shared" si="20"/>
        <v>10281.181111111111</v>
      </c>
      <c r="H67" s="251">
        <f t="shared" si="20"/>
        <v>7275.0333333333328</v>
      </c>
      <c r="I67" s="250">
        <f t="shared" ref="I67:I68" si="21">H67/G67</f>
        <v>0.70760676761846319</v>
      </c>
      <c r="J67" s="250">
        <f t="shared" si="5"/>
        <v>0.5</v>
      </c>
      <c r="K67" s="252">
        <f t="shared" si="6"/>
        <v>-0.15880634356976797</v>
      </c>
      <c r="L67" s="112">
        <f t="shared" ref="L67:L68" si="22">(I67-1)/(H$51-G$51)</f>
        <v>-0.29239323238153681</v>
      </c>
      <c r="M67" s="112">
        <f>(F67/E67-1)^1</f>
        <v>0.15035759879276256</v>
      </c>
      <c r="N67" s="112">
        <f t="shared" ref="N67:O68" si="23">(G67/F67-1)^1</f>
        <v>0.3910417550969878</v>
      </c>
      <c r="O67" s="112">
        <f t="shared" si="23"/>
        <v>-0.29239323238153681</v>
      </c>
      <c r="P67" s="112">
        <f>(M67+N67+O67)/3</f>
        <v>8.3002040502737851E-2</v>
      </c>
    </row>
    <row r="68" spans="2:16" x14ac:dyDescent="0.25">
      <c r="C68" t="s">
        <v>166</v>
      </c>
      <c r="D68" s="251">
        <f>D63</f>
        <v>2791.0050000000001</v>
      </c>
      <c r="E68" s="251">
        <f t="shared" ref="E68:H68" si="24">E63</f>
        <v>2430.2799722222217</v>
      </c>
      <c r="F68" s="251">
        <f t="shared" si="24"/>
        <v>2683.0269444444443</v>
      </c>
      <c r="G68" s="281">
        <f t="shared" si="24"/>
        <v>2861.5609722222221</v>
      </c>
      <c r="H68" s="251">
        <f t="shared" si="24"/>
        <v>3440.232361111111</v>
      </c>
      <c r="I68" s="250">
        <f t="shared" si="21"/>
        <v>1.2022222816519286</v>
      </c>
      <c r="J68" s="250">
        <f t="shared" si="5"/>
        <v>0.5</v>
      </c>
      <c r="K68" s="252">
        <f t="shared" si="6"/>
        <v>9.6458973993978736E-2</v>
      </c>
      <c r="L68" s="112">
        <f t="shared" si="22"/>
        <v>0.20222228165192857</v>
      </c>
      <c r="M68" s="112">
        <f>(F68/E68-1)^1</f>
        <v>0.10399911743136059</v>
      </c>
      <c r="N68" s="112">
        <f t="shared" si="23"/>
        <v>6.6542018203527675E-2</v>
      </c>
      <c r="O68" s="112">
        <f t="shared" si="23"/>
        <v>0.20222228165192857</v>
      </c>
      <c r="P68" s="112">
        <f>(M68+N68+O68)/3</f>
        <v>0.12425447242893894</v>
      </c>
    </row>
    <row r="69" spans="2:16" x14ac:dyDescent="0.25">
      <c r="J69" s="112"/>
      <c r="K69" s="115"/>
    </row>
    <row r="70" spans="2:16" x14ac:dyDescent="0.25">
      <c r="J70" s="112"/>
      <c r="K70" s="115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8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4" t="s">
        <v>244</v>
      </c>
      <c r="D4" s="1" t="s">
        <v>242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5"/>
      <c r="D5" s="155"/>
      <c r="E5" s="79"/>
      <c r="F5" s="155"/>
      <c r="G5" s="7"/>
      <c r="M5" s="66" t="s">
        <v>74</v>
      </c>
      <c r="N5" s="70"/>
      <c r="O5" s="153" t="s">
        <v>250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5"/>
      <c r="D6" s="155"/>
      <c r="E6" s="79"/>
      <c r="F6" s="155"/>
      <c r="G6" s="7"/>
      <c r="M6" s="66" t="s">
        <v>74</v>
      </c>
      <c r="N6" s="70"/>
      <c r="O6" s="153" t="s">
        <v>251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5"/>
      <c r="D7" s="155"/>
      <c r="E7" s="79"/>
      <c r="F7" s="155"/>
      <c r="G7" s="7"/>
      <c r="M7" s="66" t="s">
        <v>74</v>
      </c>
      <c r="N7" s="70"/>
      <c r="O7" s="153" t="s">
        <v>252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5"/>
      <c r="D8" s="155"/>
      <c r="E8" s="79"/>
      <c r="F8" s="155"/>
      <c r="G8" s="7"/>
      <c r="M8" s="153" t="s">
        <v>46</v>
      </c>
      <c r="N8" s="70"/>
      <c r="O8" s="153" t="s">
        <v>46</v>
      </c>
      <c r="P8" s="153" t="s">
        <v>254</v>
      </c>
      <c r="Q8" s="66" t="s">
        <v>161</v>
      </c>
      <c r="R8" s="66"/>
      <c r="S8" s="66"/>
      <c r="T8" s="66"/>
      <c r="U8" s="66"/>
    </row>
    <row r="9" spans="2:21" ht="15.75" x14ac:dyDescent="0.25">
      <c r="C9" s="155"/>
      <c r="D9" s="155"/>
      <c r="E9" s="79"/>
      <c r="F9" s="155"/>
      <c r="G9" s="7"/>
      <c r="M9" s="156"/>
      <c r="N9" s="156"/>
      <c r="O9" s="156"/>
      <c r="P9" s="156"/>
      <c r="Q9" s="156"/>
      <c r="R9" s="66"/>
      <c r="S9" s="66"/>
      <c r="T9" s="66"/>
      <c r="U9" s="66"/>
    </row>
    <row r="10" spans="2:21" x14ac:dyDescent="0.2">
      <c r="M10" s="156"/>
      <c r="N10" s="156"/>
      <c r="O10" s="156"/>
      <c r="P10" s="156"/>
      <c r="Q10" s="156"/>
      <c r="R10" s="66"/>
      <c r="S10" s="66"/>
      <c r="T10" s="66"/>
      <c r="U10" s="66"/>
    </row>
    <row r="11" spans="2:21" x14ac:dyDescent="0.2">
      <c r="M11" s="156"/>
      <c r="N11" s="156"/>
      <c r="O11" s="156"/>
      <c r="P11" s="156"/>
      <c r="Q11" s="156"/>
      <c r="R11" s="66"/>
      <c r="S11" s="66"/>
      <c r="T11" s="66"/>
      <c r="U11" s="66"/>
    </row>
    <row r="12" spans="2:21" x14ac:dyDescent="0.2">
      <c r="M12" s="153"/>
      <c r="N12" s="70"/>
      <c r="O12" s="153"/>
      <c r="P12" s="153"/>
      <c r="Q12" s="153"/>
      <c r="R12" s="66"/>
      <c r="S12" s="66"/>
      <c r="T12" s="66"/>
      <c r="U12" s="66"/>
    </row>
    <row r="13" spans="2:21" x14ac:dyDescent="0.2">
      <c r="M13" s="153"/>
      <c r="N13" s="70"/>
      <c r="O13" s="153"/>
      <c r="P13" s="153"/>
      <c r="Q13" s="153"/>
      <c r="R13" s="66"/>
      <c r="S13" s="66"/>
      <c r="T13" s="66"/>
      <c r="U13" s="66"/>
    </row>
    <row r="14" spans="2:21" x14ac:dyDescent="0.2">
      <c r="M14" s="153"/>
      <c r="N14" s="70"/>
      <c r="O14" s="153"/>
      <c r="P14" s="153"/>
      <c r="Q14" s="153"/>
      <c r="R14" s="66"/>
      <c r="S14" s="66"/>
      <c r="T14" s="66"/>
      <c r="U14" s="66"/>
    </row>
    <row r="15" spans="2:21" x14ac:dyDescent="0.2">
      <c r="M15" s="167"/>
      <c r="N15" s="167"/>
      <c r="O15" s="167"/>
      <c r="P15" s="167"/>
      <c r="Q15" s="167"/>
      <c r="R15" s="66"/>
      <c r="S15" s="66"/>
      <c r="T15" s="66"/>
      <c r="U15" s="66"/>
    </row>
    <row r="16" spans="2:21" x14ac:dyDescent="0.2">
      <c r="M16" s="167"/>
      <c r="N16" s="167"/>
      <c r="O16" s="167"/>
      <c r="P16" s="167"/>
      <c r="Q16" s="167"/>
      <c r="R16" s="66"/>
      <c r="S16" s="66"/>
      <c r="T16" s="66"/>
      <c r="U16" s="66"/>
    </row>
    <row r="17" spans="2:21" x14ac:dyDescent="0.2">
      <c r="M17" s="153"/>
      <c r="N17" s="70"/>
      <c r="O17" s="153"/>
      <c r="P17" s="153"/>
      <c r="Q17" s="153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9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60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233</v>
      </c>
      <c r="I22" s="8" t="str">
        <f>$E$2</f>
        <v>GWh</v>
      </c>
      <c r="J22" s="9"/>
      <c r="K22" s="261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4"/>
      <c r="G23" s="48">
        <v>2673000</v>
      </c>
      <c r="H23" s="49">
        <v>4.5449999999999999</v>
      </c>
      <c r="I23" s="89">
        <f>EBF!G53</f>
        <v>3157.661111111111</v>
      </c>
      <c r="J23" s="116">
        <v>8.76</v>
      </c>
      <c r="K23" s="262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4"/>
      <c r="G24" s="62"/>
      <c r="H24" s="63">
        <v>21.004999999999999</v>
      </c>
      <c r="I24" s="89">
        <f>EBF!G52</f>
        <v>4518.3999999999996</v>
      </c>
      <c r="J24" s="116">
        <v>8.76</v>
      </c>
      <c r="K24" s="262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4"/>
      <c r="H25" s="49">
        <v>29.234999999999999</v>
      </c>
      <c r="I25" s="89">
        <f>EBF!G54</f>
        <v>2605.1200000000003</v>
      </c>
      <c r="J25" s="116">
        <v>8.76</v>
      </c>
      <c r="K25" s="262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3" t="str">
        <f>O$8</f>
        <v>ELC</v>
      </c>
      <c r="E26" s="1">
        <v>2022</v>
      </c>
      <c r="F26" s="154"/>
      <c r="H26" s="49">
        <v>100</v>
      </c>
      <c r="I26" s="89">
        <f>EBF!G55</f>
        <v>2861.5609722222221</v>
      </c>
      <c r="J26" s="116">
        <v>8.76</v>
      </c>
      <c r="K26" s="262"/>
      <c r="M26" s="155" t="s">
        <v>46</v>
      </c>
      <c r="N26" s="155"/>
      <c r="O26" s="70" t="str">
        <f>$M$26&amp;$C$4</f>
        <v>ELCGRID</v>
      </c>
      <c r="P26" s="157" t="s">
        <v>245</v>
      </c>
      <c r="Q26" t="s">
        <v>161</v>
      </c>
    </row>
    <row r="27" spans="2:21" x14ac:dyDescent="0.2">
      <c r="B27" s="164"/>
      <c r="C27" s="164"/>
      <c r="D27" s="153"/>
      <c r="E27" s="163"/>
      <c r="F27" s="155"/>
      <c r="G27" s="155"/>
      <c r="H27" s="263"/>
      <c r="I27" s="268"/>
      <c r="J27" s="263"/>
      <c r="K27" s="263"/>
      <c r="M27" s="155"/>
      <c r="N27" s="155"/>
      <c r="O27" s="156"/>
      <c r="P27" s="157"/>
      <c r="Q27" s="155"/>
    </row>
    <row r="28" spans="2:21" x14ac:dyDescent="0.2">
      <c r="B28" s="164"/>
      <c r="C28" s="164"/>
      <c r="D28" s="153"/>
      <c r="E28" s="163"/>
      <c r="F28" s="155"/>
      <c r="G28" s="155"/>
      <c r="H28" s="263"/>
      <c r="I28" s="268"/>
      <c r="J28" s="263"/>
      <c r="K28" s="263"/>
      <c r="M28" s="163"/>
      <c r="N28" s="163"/>
      <c r="O28" s="164"/>
      <c r="P28" s="166"/>
      <c r="Q28" s="163"/>
    </row>
    <row r="29" spans="2:21" x14ac:dyDescent="0.2">
      <c r="B29" s="164"/>
      <c r="C29" s="164"/>
      <c r="D29" s="164"/>
      <c r="E29" s="163"/>
      <c r="F29" s="155"/>
      <c r="G29" s="155"/>
      <c r="H29" s="263"/>
      <c r="I29" s="268"/>
      <c r="J29" s="263"/>
      <c r="K29" s="263"/>
      <c r="M29" s="163"/>
      <c r="N29" s="163"/>
      <c r="O29" s="164"/>
      <c r="P29" s="166"/>
      <c r="Q29" s="163"/>
    </row>
    <row r="30" spans="2:21" x14ac:dyDescent="0.2">
      <c r="B30" s="164"/>
      <c r="C30" s="164"/>
      <c r="D30" s="164"/>
      <c r="E30" s="163"/>
      <c r="F30" s="155"/>
      <c r="G30" s="155"/>
      <c r="H30" s="263"/>
      <c r="I30" s="268"/>
      <c r="J30" s="263"/>
      <c r="K30" s="263"/>
      <c r="M30" s="154"/>
      <c r="O30" s="164"/>
      <c r="P30" s="166"/>
      <c r="Q30" s="163"/>
    </row>
    <row r="31" spans="2:21" x14ac:dyDescent="0.2">
      <c r="B31" s="164"/>
      <c r="C31" s="164"/>
      <c r="D31" s="164"/>
      <c r="E31" s="163"/>
      <c r="F31" s="155"/>
      <c r="G31" s="155"/>
      <c r="H31" s="263"/>
      <c r="I31" s="268"/>
      <c r="J31" s="263"/>
      <c r="K31" s="263"/>
      <c r="M31" s="154"/>
      <c r="O31" s="153"/>
      <c r="P31" s="165"/>
      <c r="Q31" s="163"/>
    </row>
    <row r="32" spans="2:21" x14ac:dyDescent="0.2">
      <c r="B32" s="156"/>
      <c r="C32" s="156"/>
      <c r="D32" s="156"/>
      <c r="E32" s="155"/>
      <c r="F32" s="155"/>
      <c r="G32" s="155"/>
      <c r="H32" s="263"/>
      <c r="I32" s="268"/>
      <c r="J32" s="263"/>
      <c r="K32" s="263"/>
      <c r="O32" s="70"/>
      <c r="P32" s="72"/>
    </row>
    <row r="33" spans="1:24" x14ac:dyDescent="0.2">
      <c r="B33" s="66"/>
      <c r="C33" s="70"/>
      <c r="D33" s="153"/>
      <c r="E33" s="1"/>
      <c r="F33" s="1"/>
      <c r="H33" s="262"/>
      <c r="I33" s="268"/>
      <c r="J33" s="262"/>
      <c r="K33" s="262"/>
      <c r="O33" s="70"/>
      <c r="P33" s="72"/>
    </row>
    <row r="34" spans="1:24" x14ac:dyDescent="0.2">
      <c r="B34" s="66"/>
      <c r="C34" s="70"/>
      <c r="D34" s="153"/>
      <c r="E34" s="1"/>
      <c r="F34" s="1"/>
      <c r="H34" s="262"/>
      <c r="I34" s="268"/>
      <c r="J34" s="262"/>
      <c r="K34" s="262"/>
      <c r="O34" s="70"/>
      <c r="P34" s="72"/>
    </row>
    <row r="35" spans="1:24" x14ac:dyDescent="0.2">
      <c r="B35" s="66"/>
      <c r="C35" s="70"/>
      <c r="D35" s="153"/>
      <c r="E35" s="1"/>
      <c r="F35" s="1"/>
      <c r="H35" s="262"/>
      <c r="I35" s="268"/>
      <c r="J35" s="262"/>
      <c r="K35" s="262"/>
      <c r="O35" s="70"/>
      <c r="P35" s="72"/>
    </row>
    <row r="36" spans="1:24" x14ac:dyDescent="0.2">
      <c r="B36" s="66"/>
      <c r="C36" s="70"/>
      <c r="D36" s="153"/>
      <c r="E36" s="1"/>
      <c r="F36" s="1"/>
      <c r="H36" s="262"/>
      <c r="I36" s="268"/>
      <c r="J36" s="262"/>
      <c r="K36" s="262"/>
      <c r="O36" s="70"/>
      <c r="P36" s="72"/>
    </row>
    <row r="37" spans="1:24" x14ac:dyDescent="0.2">
      <c r="B37" s="66"/>
      <c r="D37" s="66"/>
      <c r="E37" s="1"/>
      <c r="F37" s="1"/>
      <c r="H37" s="262"/>
      <c r="I37" s="268"/>
      <c r="J37" s="262"/>
      <c r="K37" s="262"/>
      <c r="O37" s="70"/>
      <c r="P37" s="72"/>
    </row>
    <row r="38" spans="1:24" x14ac:dyDescent="0.2">
      <c r="H38" s="258"/>
      <c r="I38" s="258"/>
      <c r="J38" s="258"/>
    </row>
    <row r="39" spans="1:24" x14ac:dyDescent="0.2">
      <c r="B39" s="48"/>
      <c r="C39" s="1" t="s">
        <v>98</v>
      </c>
      <c r="T39" s="167"/>
      <c r="U39" s="167"/>
      <c r="V39" s="167"/>
      <c r="W39" s="167"/>
      <c r="X39" s="167"/>
    </row>
    <row r="40" spans="1:24" x14ac:dyDescent="0.2">
      <c r="B40" s="47"/>
      <c r="C40" s="1" t="s">
        <v>99</v>
      </c>
      <c r="T40" s="167"/>
      <c r="U40" s="167"/>
      <c r="V40" s="167"/>
      <c r="W40" s="167"/>
      <c r="X40" s="167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8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39"/>
  <sheetViews>
    <sheetView topLeftCell="A6" zoomScale="118" zoomScaleNormal="118" workbookViewId="0">
      <selection activeCell="I27" sqref="I27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9" t="s">
        <v>74</v>
      </c>
      <c r="R5" s="159"/>
      <c r="S5" s="159" t="s">
        <v>449</v>
      </c>
      <c r="T5" s="159" t="s">
        <v>451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246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9" t="s">
        <v>74</v>
      </c>
      <c r="R8" s="159"/>
      <c r="S8" s="159" t="s">
        <v>450</v>
      </c>
      <c r="T8" s="159" t="s">
        <v>452</v>
      </c>
      <c r="U8" s="254" t="s">
        <v>161</v>
      </c>
      <c r="V8" s="92"/>
      <c r="W8" s="92"/>
      <c r="X8" s="92"/>
      <c r="Y8" s="92"/>
    </row>
    <row r="9" spans="2:25" x14ac:dyDescent="0.2">
      <c r="Q9" s="266" t="s">
        <v>82</v>
      </c>
      <c r="R9" s="266"/>
      <c r="S9" s="266" t="s">
        <v>459</v>
      </c>
      <c r="T9" s="266" t="s">
        <v>460</v>
      </c>
      <c r="U9" s="254" t="s">
        <v>161</v>
      </c>
      <c r="V9" s="92"/>
      <c r="W9" s="92"/>
      <c r="X9" s="92"/>
      <c r="Y9" s="92"/>
    </row>
    <row r="10" spans="2:25" x14ac:dyDescent="0.2">
      <c r="Q10" s="254" t="s">
        <v>74</v>
      </c>
      <c r="R10" s="92"/>
      <c r="S10" s="254" t="s">
        <v>462</v>
      </c>
      <c r="T10" s="254" t="s">
        <v>464</v>
      </c>
      <c r="U10" s="254" t="s">
        <v>161</v>
      </c>
      <c r="V10" s="92"/>
      <c r="W10" s="92"/>
      <c r="X10" s="92"/>
      <c r="Y10" s="92"/>
    </row>
    <row r="11" spans="2:25" x14ac:dyDescent="0.2">
      <c r="Q11" s="254"/>
      <c r="R11" s="92"/>
      <c r="S11" s="254"/>
      <c r="T11" s="254"/>
      <c r="U11" s="254"/>
      <c r="V11" s="92"/>
      <c r="W11" s="92"/>
      <c r="X11" s="92"/>
      <c r="Y11" s="92"/>
    </row>
    <row r="12" spans="2:25" x14ac:dyDescent="0.2">
      <c r="Q12" s="254"/>
      <c r="R12" s="92"/>
      <c r="S12" s="254"/>
      <c r="T12" s="254"/>
      <c r="U12" s="254"/>
      <c r="V12" s="92"/>
      <c r="W12" s="92"/>
      <c r="X12" s="92"/>
      <c r="Y12" s="92"/>
    </row>
    <row r="13" spans="2:25" x14ac:dyDescent="0.2">
      <c r="Q13" s="254"/>
      <c r="R13" s="92"/>
      <c r="S13" s="254"/>
      <c r="T13" s="254"/>
      <c r="U13" s="254"/>
      <c r="V13" s="92"/>
      <c r="W13" s="92"/>
      <c r="X13" s="92"/>
      <c r="Y13" s="92"/>
    </row>
    <row r="15" spans="2:25" x14ac:dyDescent="0.2">
      <c r="D15" s="3" t="s">
        <v>13</v>
      </c>
      <c r="E15" s="3"/>
      <c r="F15" s="3"/>
      <c r="H15" s="3"/>
      <c r="I15" s="96"/>
      <c r="J15" s="96"/>
      <c r="K15" s="96"/>
      <c r="L15" s="96"/>
      <c r="M15" s="96"/>
      <c r="N15" s="96"/>
      <c r="O15" s="96"/>
      <c r="P15" s="96"/>
      <c r="Q15" s="91" t="s">
        <v>15</v>
      </c>
      <c r="R15" s="91"/>
      <c r="S15" s="92"/>
      <c r="T15" s="92"/>
      <c r="U15" s="92"/>
      <c r="V15" s="92"/>
      <c r="W15" s="92"/>
      <c r="X15" s="92"/>
      <c r="Y15" s="92"/>
    </row>
    <row r="16" spans="2:25" ht="24" customHeight="1" x14ac:dyDescent="0.2">
      <c r="B16" s="54" t="s">
        <v>1</v>
      </c>
      <c r="C16" s="54" t="s">
        <v>5</v>
      </c>
      <c r="D16" s="54" t="s">
        <v>6</v>
      </c>
      <c r="E16" s="97" t="s">
        <v>465</v>
      </c>
      <c r="F16" s="98" t="s">
        <v>446</v>
      </c>
      <c r="G16" s="97" t="s">
        <v>105</v>
      </c>
      <c r="H16" s="97" t="s">
        <v>106</v>
      </c>
      <c r="I16" s="97" t="s">
        <v>107</v>
      </c>
      <c r="J16" s="97" t="s">
        <v>447</v>
      </c>
      <c r="K16" s="97" t="s">
        <v>171</v>
      </c>
      <c r="L16" s="99" t="s">
        <v>172</v>
      </c>
      <c r="M16" s="99" t="s">
        <v>162</v>
      </c>
      <c r="N16" s="255"/>
      <c r="O16" s="255"/>
      <c r="P16" s="255"/>
      <c r="Q16" s="93" t="s">
        <v>11</v>
      </c>
      <c r="R16" s="94" t="s">
        <v>30</v>
      </c>
      <c r="S16" s="93" t="s">
        <v>1</v>
      </c>
      <c r="T16" s="93" t="s">
        <v>2</v>
      </c>
      <c r="U16" s="93" t="s">
        <v>16</v>
      </c>
      <c r="V16" s="93" t="s">
        <v>17</v>
      </c>
      <c r="W16" s="93" t="s">
        <v>18</v>
      </c>
      <c r="X16" s="93" t="s">
        <v>19</v>
      </c>
      <c r="Y16" s="93" t="s">
        <v>20</v>
      </c>
    </row>
    <row r="17" spans="2:25" ht="45.75" thickBot="1" x14ac:dyDescent="0.25">
      <c r="B17" s="100" t="s">
        <v>39</v>
      </c>
      <c r="C17" s="100" t="s">
        <v>32</v>
      </c>
      <c r="D17" s="100" t="s">
        <v>33</v>
      </c>
      <c r="E17" s="100" t="s">
        <v>108</v>
      </c>
      <c r="F17" s="100" t="s">
        <v>151</v>
      </c>
      <c r="G17" s="100" t="s">
        <v>109</v>
      </c>
      <c r="H17" s="101" t="s">
        <v>110</v>
      </c>
      <c r="I17" s="100" t="s">
        <v>118</v>
      </c>
      <c r="J17" s="100" t="s">
        <v>448</v>
      </c>
      <c r="K17" s="100" t="s">
        <v>173</v>
      </c>
      <c r="L17" s="101" t="s">
        <v>174</v>
      </c>
      <c r="M17" s="272" t="s">
        <v>163</v>
      </c>
      <c r="N17" s="256"/>
      <c r="O17" s="256"/>
      <c r="P17" s="256"/>
      <c r="Q17" s="95" t="s">
        <v>38</v>
      </c>
      <c r="R17" s="95" t="s">
        <v>31</v>
      </c>
      <c r="S17" s="95" t="s">
        <v>21</v>
      </c>
      <c r="T17" s="95" t="s">
        <v>22</v>
      </c>
      <c r="U17" s="95" t="s">
        <v>23</v>
      </c>
      <c r="V17" s="95" t="s">
        <v>24</v>
      </c>
      <c r="W17" s="95" t="s">
        <v>43</v>
      </c>
      <c r="X17" s="95" t="s">
        <v>42</v>
      </c>
      <c r="Y17" s="95" t="s">
        <v>25</v>
      </c>
    </row>
    <row r="18" spans="2:25" ht="13.5" thickBot="1" x14ac:dyDescent="0.25">
      <c r="B18" s="102" t="s">
        <v>87</v>
      </c>
      <c r="C18" s="102"/>
      <c r="D18" s="102"/>
      <c r="E18" s="103" t="s">
        <v>237</v>
      </c>
      <c r="F18" s="103"/>
      <c r="G18" s="103" t="s">
        <v>387</v>
      </c>
      <c r="H18" s="104" t="s">
        <v>387</v>
      </c>
      <c r="I18" s="103" t="s">
        <v>111</v>
      </c>
      <c r="J18" s="103"/>
      <c r="K18" s="103"/>
      <c r="L18" s="104"/>
      <c r="M18" s="104"/>
      <c r="N18" s="257"/>
      <c r="O18" s="257"/>
      <c r="P18" s="257"/>
      <c r="Q18" s="95" t="s">
        <v>81</v>
      </c>
      <c r="R18" s="95"/>
      <c r="S18" s="95"/>
      <c r="T18" s="95"/>
      <c r="U18" s="95"/>
      <c r="V18" s="95"/>
      <c r="W18" s="95"/>
      <c r="X18" s="95"/>
      <c r="Y18" s="95"/>
    </row>
    <row r="19" spans="2:25" x14ac:dyDescent="0.2">
      <c r="B19" s="90" t="str">
        <f>S$19</f>
        <v>Kiln</v>
      </c>
      <c r="C19" s="90" t="str">
        <f>PRI_Sector_Fuels!O5</f>
        <v>MANCOALMIN</v>
      </c>
      <c r="D19" s="92" t="str">
        <f>S8</f>
        <v>MANHEATCOAL</v>
      </c>
      <c r="E19" s="108">
        <f>PRI_Sector_Fuels!I23/(DemTechs_INDF!G19*DemTechs_INDF!H19*DemTechs_INDF!M19)</f>
        <v>655.3883584705502</v>
      </c>
      <c r="F19" s="105">
        <v>0.59</v>
      </c>
      <c r="G19" s="106">
        <v>0.55000000000000004</v>
      </c>
      <c r="H19" s="106">
        <v>1</v>
      </c>
      <c r="I19" s="131">
        <v>30</v>
      </c>
      <c r="J19" s="131"/>
      <c r="K19" s="107">
        <v>1515</v>
      </c>
      <c r="L19" s="107"/>
      <c r="M19" s="107">
        <v>8.76</v>
      </c>
      <c r="N19" s="113"/>
      <c r="O19" s="113"/>
      <c r="P19" s="113"/>
      <c r="Q19" s="162" t="s">
        <v>463</v>
      </c>
      <c r="S19" s="90" t="s">
        <v>152</v>
      </c>
      <c r="T19" s="90" t="s">
        <v>238</v>
      </c>
      <c r="U19" s="92" t="str">
        <f>$E$2</f>
        <v>GWh</v>
      </c>
      <c r="V19" s="92" t="s">
        <v>153</v>
      </c>
      <c r="W19" s="92"/>
      <c r="X19" s="254"/>
      <c r="Y19" s="92"/>
    </row>
    <row r="20" spans="2:25" x14ac:dyDescent="0.2">
      <c r="B20" s="90" t="str">
        <f>S$19</f>
        <v>Kiln</v>
      </c>
      <c r="C20" s="90" t="str">
        <f>PRI_Sector_Fuels!O6</f>
        <v>MANCOALIMP</v>
      </c>
      <c r="D20" s="92" t="str">
        <f>S$8</f>
        <v>MANHEATCOAL</v>
      </c>
      <c r="E20" s="108">
        <f>PRI_Sector_Fuels!I24/(M20*G20*H20)</f>
        <v>937.81652137816502</v>
      </c>
      <c r="F20" s="105">
        <v>0.41</v>
      </c>
      <c r="G20" s="106">
        <v>0.55000000000000004</v>
      </c>
      <c r="H20" s="106">
        <v>1</v>
      </c>
      <c r="I20" s="131">
        <v>30</v>
      </c>
      <c r="J20" s="131"/>
      <c r="K20" s="107">
        <v>1515</v>
      </c>
      <c r="L20" s="107"/>
      <c r="M20" s="107">
        <v>8.76</v>
      </c>
      <c r="N20" s="113"/>
      <c r="O20" s="113"/>
      <c r="P20" s="113"/>
      <c r="Q20" s="162" t="s">
        <v>463</v>
      </c>
      <c r="S20" s="90" t="s">
        <v>154</v>
      </c>
      <c r="T20" s="90" t="s">
        <v>155</v>
      </c>
      <c r="U20" s="92" t="str">
        <f>$E$2</f>
        <v>GWh</v>
      </c>
      <c r="V20" s="92" t="s">
        <v>153</v>
      </c>
      <c r="W20" s="92"/>
      <c r="X20" s="254"/>
      <c r="Y20" s="92"/>
    </row>
    <row r="21" spans="2:25" x14ac:dyDescent="0.2">
      <c r="B21" s="90" t="str">
        <f>S$20</f>
        <v>Boiler</v>
      </c>
      <c r="C21" s="90" t="str">
        <f>PRI_Sector_Fuels!O7</f>
        <v>MANOILIMP</v>
      </c>
      <c r="D21" s="92" t="str">
        <f>S$5</f>
        <v>MANHEATOIL</v>
      </c>
      <c r="E21" s="108">
        <f>PRI_Sector_Fuels!I25/(M21*G21*H21)</f>
        <v>371.73515981735164</v>
      </c>
      <c r="F21" s="105">
        <v>1</v>
      </c>
      <c r="G21" s="106">
        <v>0.8</v>
      </c>
      <c r="H21" s="108">
        <v>1</v>
      </c>
      <c r="I21" s="107">
        <v>30</v>
      </c>
      <c r="J21" s="131"/>
      <c r="K21" s="107">
        <v>1212</v>
      </c>
      <c r="L21" s="107"/>
      <c r="M21" s="107">
        <v>8.76</v>
      </c>
      <c r="N21" s="113"/>
      <c r="O21" s="113"/>
      <c r="P21" s="113"/>
      <c r="Q21" s="90" t="s">
        <v>112</v>
      </c>
      <c r="S21" s="162" t="s">
        <v>166</v>
      </c>
      <c r="T21" s="90" t="s">
        <v>243</v>
      </c>
      <c r="U21" s="90" t="s">
        <v>161</v>
      </c>
      <c r="V21" s="90" t="s">
        <v>153</v>
      </c>
      <c r="W21" s="168" t="s">
        <v>249</v>
      </c>
    </row>
    <row r="22" spans="2:25" s="158" customFormat="1" x14ac:dyDescent="0.2">
      <c r="B22" s="96" t="str">
        <f>S21</f>
        <v>MANELC</v>
      </c>
      <c r="C22" s="96" t="str">
        <f>PRI_Sector_Fuels!O8</f>
        <v>ELC</v>
      </c>
      <c r="D22" s="92" t="str">
        <f>S6</f>
        <v>MANELC</v>
      </c>
      <c r="E22" s="108">
        <f>PRI_Sector_Fuels!I26/M22*G22</f>
        <v>326.66221144089292</v>
      </c>
      <c r="F22" s="161">
        <v>1</v>
      </c>
      <c r="G22" s="158">
        <v>1</v>
      </c>
      <c r="H22" s="158">
        <v>1</v>
      </c>
      <c r="I22" s="158">
        <v>50</v>
      </c>
      <c r="K22" s="158">
        <v>1111</v>
      </c>
      <c r="M22" s="158">
        <v>8.76</v>
      </c>
      <c r="Q22" s="158" t="s">
        <v>463</v>
      </c>
      <c r="S22" s="158" t="s">
        <v>462</v>
      </c>
      <c r="T22" s="158" t="s">
        <v>461</v>
      </c>
      <c r="U22" s="96" t="s">
        <v>161</v>
      </c>
      <c r="V22" s="96" t="s">
        <v>153</v>
      </c>
      <c r="W22" s="169"/>
    </row>
    <row r="23" spans="2:25" s="158" customFormat="1" x14ac:dyDescent="0.2">
      <c r="B23" s="96" t="str">
        <f>S22</f>
        <v>PHEAT</v>
      </c>
      <c r="C23" s="159" t="str">
        <f>DemTechs_INDF!D19</f>
        <v>MANHEATCOAL</v>
      </c>
      <c r="D23" s="92" t="str">
        <f>S9</f>
        <v>MANHEAT</v>
      </c>
      <c r="E23" s="160"/>
      <c r="F23" s="161">
        <f>H31</f>
        <v>0.58863523030836851</v>
      </c>
      <c r="G23" s="158">
        <v>1</v>
      </c>
      <c r="H23" s="158">
        <v>1</v>
      </c>
      <c r="I23" s="158">
        <v>50</v>
      </c>
      <c r="K23" s="158">
        <v>0</v>
      </c>
      <c r="M23" s="158">
        <v>8.76</v>
      </c>
      <c r="U23" s="96"/>
      <c r="V23" s="96"/>
    </row>
    <row r="24" spans="2:25" s="158" customFormat="1" x14ac:dyDescent="0.2">
      <c r="B24" s="96" t="str">
        <f>S22</f>
        <v>PHEAT</v>
      </c>
      <c r="C24" s="159" t="str">
        <f>D21</f>
        <v>MANHEATOIL</v>
      </c>
      <c r="D24" s="92" t="str">
        <f>S9</f>
        <v>MANHEAT</v>
      </c>
      <c r="E24" s="160"/>
      <c r="F24" s="161">
        <f>H30</f>
        <v>0.41136476969163155</v>
      </c>
      <c r="G24" s="158">
        <v>1</v>
      </c>
      <c r="H24" s="158">
        <v>1</v>
      </c>
      <c r="I24" s="158">
        <v>50</v>
      </c>
      <c r="K24" s="158">
        <v>0</v>
      </c>
      <c r="M24" s="158">
        <v>8.76</v>
      </c>
      <c r="U24" s="96"/>
      <c r="V24" s="96"/>
    </row>
    <row r="25" spans="2:25" s="158" customFormat="1" x14ac:dyDescent="0.2">
      <c r="B25" s="96"/>
      <c r="C25" s="159"/>
      <c r="D25" s="92"/>
      <c r="E25" s="160"/>
      <c r="F25" s="161"/>
      <c r="Q25" s="267"/>
      <c r="R25" s="267"/>
      <c r="S25" s="267"/>
      <c r="T25" s="267"/>
      <c r="U25" s="96"/>
      <c r="V25" s="96"/>
    </row>
    <row r="26" spans="2:25" s="158" customFormat="1" x14ac:dyDescent="0.2">
      <c r="B26" s="96"/>
      <c r="C26" s="159"/>
      <c r="D26" s="92"/>
      <c r="E26" s="160"/>
      <c r="F26" s="161"/>
      <c r="V26" s="96"/>
    </row>
    <row r="27" spans="2:25" s="113" customFormat="1" x14ac:dyDescent="0.2">
      <c r="B27" s="162"/>
      <c r="C27" s="92"/>
      <c r="D27" s="92"/>
      <c r="E27" s="160"/>
      <c r="F27" s="161"/>
      <c r="G27" s="158"/>
      <c r="H27" s="158"/>
      <c r="I27" s="158"/>
      <c r="J27" s="158"/>
      <c r="K27" s="158"/>
    </row>
    <row r="28" spans="2:25" x14ac:dyDescent="0.2">
      <c r="B28" s="162"/>
      <c r="C28" s="92"/>
      <c r="D28" s="92"/>
      <c r="E28" s="160"/>
      <c r="F28" s="161"/>
      <c r="G28" s="158"/>
      <c r="H28" s="158"/>
      <c r="I28" s="158"/>
      <c r="J28" s="158"/>
      <c r="K28" s="158"/>
    </row>
    <row r="29" spans="2:25" x14ac:dyDescent="0.2">
      <c r="B29" s="162"/>
      <c r="C29" s="92"/>
      <c r="D29" s="159"/>
      <c r="E29" s="160"/>
      <c r="F29" s="161"/>
      <c r="G29" s="158">
        <v>2022</v>
      </c>
      <c r="H29" s="158">
        <v>2022</v>
      </c>
      <c r="I29" s="158">
        <v>2022</v>
      </c>
      <c r="J29" s="158"/>
      <c r="K29" s="158" t="s">
        <v>469</v>
      </c>
    </row>
    <row r="30" spans="2:25" x14ac:dyDescent="0.2">
      <c r="E30" s="162" t="s">
        <v>466</v>
      </c>
      <c r="F30" s="109"/>
      <c r="G30" s="90">
        <f>E19*G19*H19*M19</f>
        <v>3157.661111111111</v>
      </c>
      <c r="H30" s="265">
        <f>G30/(G30+G31)</f>
        <v>0.41136476969163155</v>
      </c>
      <c r="K30" s="265">
        <f>G30/G$34</f>
        <v>0.24025892702523827</v>
      </c>
      <c r="U30" s="92"/>
      <c r="V30" s="92"/>
      <c r="W30" s="168"/>
    </row>
    <row r="31" spans="2:25" x14ac:dyDescent="0.2">
      <c r="E31" s="162" t="s">
        <v>467</v>
      </c>
      <c r="F31" s="109"/>
      <c r="G31" s="90">
        <f t="shared" ref="G31:G32" si="0">E20*G20*H20*M20</f>
        <v>4518.3999999999996</v>
      </c>
      <c r="H31" s="265">
        <f>G31/(G30+G31)</f>
        <v>0.58863523030836851</v>
      </c>
      <c r="I31" s="90">
        <f>(G30+G31)/(G30+G31+G32)</f>
        <v>0.74661277027941986</v>
      </c>
      <c r="J31" s="90">
        <f>G30+G31</f>
        <v>7676.0611111111102</v>
      </c>
      <c r="K31" s="265">
        <f t="shared" ref="K31:K33" si="1">G31/G$34</f>
        <v>0.34379431410511396</v>
      </c>
      <c r="R31" s="113"/>
      <c r="T31" s="113"/>
      <c r="U31" s="114"/>
      <c r="V31" s="114"/>
    </row>
    <row r="32" spans="2:25" x14ac:dyDescent="0.2">
      <c r="E32" s="162" t="s">
        <v>45</v>
      </c>
      <c r="F32" s="109"/>
      <c r="G32" s="90">
        <f t="shared" si="0"/>
        <v>2605.1200000000003</v>
      </c>
      <c r="H32" s="110">
        <f>G32/G32</f>
        <v>1</v>
      </c>
      <c r="I32" s="90">
        <f>1-I31</f>
        <v>0.25338722972058014</v>
      </c>
      <c r="K32" s="265">
        <f t="shared" si="1"/>
        <v>0.19821738747377715</v>
      </c>
    </row>
    <row r="33" spans="2:11" x14ac:dyDescent="0.2">
      <c r="E33" s="162" t="s">
        <v>46</v>
      </c>
      <c r="G33" s="90">
        <f>E22*G22*H22*M22</f>
        <v>2861.5609722222221</v>
      </c>
      <c r="H33" s="110">
        <f>G33/G33</f>
        <v>1</v>
      </c>
      <c r="I33" s="109">
        <f>H33</f>
        <v>1</v>
      </c>
      <c r="K33" s="265">
        <f t="shared" si="1"/>
        <v>0.21772937139587065</v>
      </c>
    </row>
    <row r="34" spans="2:11" x14ac:dyDescent="0.2">
      <c r="B34" s="107"/>
      <c r="C34" s="90" t="s">
        <v>98</v>
      </c>
      <c r="G34" s="90">
        <f>SUM(G30:G33)</f>
        <v>13142.742083333333</v>
      </c>
      <c r="H34" s="110"/>
      <c r="K34" s="90">
        <f>SUM(K30:K33)</f>
        <v>1</v>
      </c>
    </row>
    <row r="35" spans="2:11" x14ac:dyDescent="0.2">
      <c r="B35" s="111"/>
      <c r="C35" s="90" t="s">
        <v>99</v>
      </c>
      <c r="H35" s="110"/>
    </row>
    <row r="36" spans="2:11" x14ac:dyDescent="0.2">
      <c r="E36" s="90" t="s">
        <v>234</v>
      </c>
      <c r="F36" s="90" t="s">
        <v>236</v>
      </c>
      <c r="H36" s="110"/>
    </row>
    <row r="38" spans="2:11" x14ac:dyDescent="0.2">
      <c r="E38" s="90" t="s">
        <v>235</v>
      </c>
      <c r="F38" s="90">
        <f>24*365</f>
        <v>8760</v>
      </c>
    </row>
    <row r="39" spans="2:11" x14ac:dyDescent="0.2">
      <c r="E39" s="21"/>
      <c r="G39" s="90">
        <f>G30+G31+G32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abSelected="1" topLeftCell="H6" zoomScale="226" zoomScaleNormal="226" workbookViewId="0">
      <selection activeCell="M18" sqref="M18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8"/>
    </row>
    <row r="5" spans="2:18" x14ac:dyDescent="0.2">
      <c r="C5" s="118" t="s">
        <v>13</v>
      </c>
      <c r="D5" s="118"/>
      <c r="E5" s="1"/>
    </row>
    <row r="6" spans="2:18" x14ac:dyDescent="0.2">
      <c r="B6" s="117" t="s">
        <v>175</v>
      </c>
      <c r="C6" s="117" t="s">
        <v>0</v>
      </c>
      <c r="D6" s="117" t="s">
        <v>176</v>
      </c>
      <c r="E6" s="117">
        <v>2022</v>
      </c>
      <c r="F6" s="117">
        <v>2025</v>
      </c>
      <c r="G6" s="117">
        <v>2030</v>
      </c>
      <c r="H6" s="117">
        <v>2035</v>
      </c>
      <c r="I6" s="117">
        <v>2040</v>
      </c>
      <c r="J6" s="117">
        <v>2045</v>
      </c>
      <c r="K6" s="117">
        <v>2050</v>
      </c>
      <c r="L6" s="146"/>
      <c r="M6" s="149"/>
      <c r="N6" s="124"/>
      <c r="Q6" s="118" t="s">
        <v>13</v>
      </c>
      <c r="R6" s="1"/>
    </row>
    <row r="7" spans="2:18" ht="33.75" x14ac:dyDescent="0.2">
      <c r="B7" s="120" t="s">
        <v>81</v>
      </c>
      <c r="C7" s="120" t="s">
        <v>177</v>
      </c>
      <c r="D7" s="120" t="s">
        <v>178</v>
      </c>
      <c r="E7" s="120" t="s">
        <v>179</v>
      </c>
      <c r="F7" s="120" t="s">
        <v>179</v>
      </c>
      <c r="G7" s="120" t="s">
        <v>179</v>
      </c>
      <c r="H7" s="120" t="s">
        <v>179</v>
      </c>
      <c r="I7" s="120" t="s">
        <v>179</v>
      </c>
      <c r="J7" s="120" t="s">
        <v>179</v>
      </c>
      <c r="K7" s="120" t="s">
        <v>179</v>
      </c>
      <c r="L7" s="147"/>
      <c r="M7" s="149" t="s">
        <v>248</v>
      </c>
      <c r="N7" s="125"/>
      <c r="O7" s="117" t="s">
        <v>175</v>
      </c>
      <c r="P7" s="117" t="s">
        <v>0</v>
      </c>
      <c r="Q7" s="117" t="s">
        <v>181</v>
      </c>
      <c r="R7" s="117">
        <v>2022</v>
      </c>
    </row>
    <row r="8" spans="2:18" ht="15.75" customHeight="1" thickBot="1" x14ac:dyDescent="0.25">
      <c r="B8" s="119" t="s">
        <v>87</v>
      </c>
      <c r="C8" s="119"/>
      <c r="D8" s="119"/>
      <c r="E8" s="119" t="s">
        <v>161</v>
      </c>
      <c r="F8" s="119" t="s">
        <v>161</v>
      </c>
      <c r="G8" s="119" t="s">
        <v>161</v>
      </c>
      <c r="H8" s="119" t="s">
        <v>161</v>
      </c>
      <c r="I8" s="119" t="s">
        <v>161</v>
      </c>
      <c r="J8" s="119" t="s">
        <v>161</v>
      </c>
      <c r="K8" s="119" t="s">
        <v>161</v>
      </c>
      <c r="L8" s="147"/>
      <c r="M8" s="149"/>
      <c r="N8" s="125"/>
      <c r="O8" s="127" t="s">
        <v>81</v>
      </c>
      <c r="P8" s="127" t="s">
        <v>177</v>
      </c>
      <c r="Q8" s="127"/>
      <c r="R8" s="127"/>
    </row>
    <row r="9" spans="2:18" s="20" customFormat="1" ht="15" thickBot="1" x14ac:dyDescent="0.25">
      <c r="B9" s="282" t="s">
        <v>180</v>
      </c>
      <c r="C9" s="282" t="s">
        <v>459</v>
      </c>
      <c r="D9" s="282" t="s">
        <v>161</v>
      </c>
      <c r="E9" s="283">
        <f>E12+E14</f>
        <v>10281.181111111111</v>
      </c>
      <c r="F9" s="283">
        <f>E9*(1+$M$9)^(F6-E6)</f>
        <v>13059.628840978741</v>
      </c>
      <c r="G9" s="283">
        <f t="shared" ref="G9:K9" si="0">F9*(1+$M$9)^(G6-F6)</f>
        <v>19457.059579707369</v>
      </c>
      <c r="H9" s="283">
        <f t="shared" si="0"/>
        <v>28988.355802300906</v>
      </c>
      <c r="I9" s="283">
        <f t="shared" si="0"/>
        <v>43188.68268241336</v>
      </c>
      <c r="J9" s="283">
        <f t="shared" si="0"/>
        <v>64345.226219906523</v>
      </c>
      <c r="K9" s="283">
        <f t="shared" si="0"/>
        <v>95865.580521095617</v>
      </c>
      <c r="L9" s="269"/>
      <c r="M9" s="270">
        <f>EBF!P67</f>
        <v>8.3002040502737851E-2</v>
      </c>
      <c r="N9" s="271"/>
      <c r="O9" s="9" t="s">
        <v>87</v>
      </c>
      <c r="P9" s="9"/>
      <c r="Q9" s="9"/>
      <c r="R9" s="9"/>
    </row>
    <row r="10" spans="2:18" s="20" customFormat="1" ht="14.25" x14ac:dyDescent="0.2">
      <c r="B10" s="282" t="s">
        <v>180</v>
      </c>
      <c r="C10" s="282" t="str">
        <f>C13</f>
        <v>MANELC</v>
      </c>
      <c r="D10" s="282" t="s">
        <v>161</v>
      </c>
      <c r="E10" s="283">
        <f>E13</f>
        <v>2861.5609722222221</v>
      </c>
      <c r="F10" s="283">
        <f>E10*(1+$M$10)^(F6-E6)</f>
        <v>4066.2762112692412</v>
      </c>
      <c r="G10" s="283">
        <f t="shared" ref="G10:K10" si="1">F10*(1+$M$10)^(G6-F6)</f>
        <v>7303.3143733654952</v>
      </c>
      <c r="H10" s="283">
        <f t="shared" si="1"/>
        <v>13117.259641237719</v>
      </c>
      <c r="I10" s="283">
        <f t="shared" si="1"/>
        <v>23559.508970768085</v>
      </c>
      <c r="J10" s="283">
        <f t="shared" si="1"/>
        <v>42314.513711289808</v>
      </c>
      <c r="K10" s="283">
        <f t="shared" si="1"/>
        <v>75999.804276250114</v>
      </c>
      <c r="L10" s="269"/>
      <c r="M10" s="270">
        <f>EBF!P68</f>
        <v>0.12425447242893894</v>
      </c>
      <c r="N10" s="271"/>
      <c r="O10" s="1" t="s">
        <v>182</v>
      </c>
      <c r="P10" s="1" t="str">
        <f>DemTechs_INDF!S$6</f>
        <v>MANELC</v>
      </c>
      <c r="Q10" s="90" t="s">
        <v>183</v>
      </c>
      <c r="R10" s="128">
        <v>0.75</v>
      </c>
    </row>
    <row r="11" spans="2:18" s="258" customFormat="1" ht="13.5" thickBot="1" x14ac:dyDescent="0.25">
      <c r="B11" s="284"/>
      <c r="C11" s="284"/>
      <c r="D11" s="284"/>
      <c r="E11" s="284"/>
      <c r="F11" s="284"/>
      <c r="G11" s="284"/>
      <c r="H11" s="284"/>
      <c r="I11" s="284"/>
      <c r="J11" s="284"/>
      <c r="K11" s="284"/>
      <c r="L11" s="284"/>
      <c r="M11" s="285"/>
      <c r="N11" s="284"/>
      <c r="O11" s="286" t="s">
        <v>182</v>
      </c>
      <c r="P11" s="286" t="str">
        <f>DemTechs_INDF!S$6</f>
        <v>MANELC</v>
      </c>
      <c r="Q11" s="113" t="s">
        <v>184</v>
      </c>
      <c r="R11" s="287">
        <v>0.25</v>
      </c>
    </row>
    <row r="12" spans="2:18" ht="13.5" thickBot="1" x14ac:dyDescent="0.25">
      <c r="B12" s="121" t="s">
        <v>180</v>
      </c>
      <c r="C12" s="121" t="str">
        <f>DemTechs_INDF!S5</f>
        <v>MANHEATOIL</v>
      </c>
      <c r="D12" s="121" t="str">
        <f>E$2</f>
        <v>GWh</v>
      </c>
      <c r="E12" s="123">
        <f>EBF!G62</f>
        <v>2605.1200000000003</v>
      </c>
      <c r="F12" s="123">
        <f>E12*(1+$M$12)^(F6-E6)</f>
        <v>2891.3277478771038</v>
      </c>
      <c r="G12" s="123">
        <f t="shared" ref="G12:K12" si="2">F12*(1+$M$12)^(G6-F6)</f>
        <v>3439.9065346715411</v>
      </c>
      <c r="H12" s="123">
        <f t="shared" si="2"/>
        <v>4092.5685356715676</v>
      </c>
      <c r="I12" s="123">
        <f t="shared" si="2"/>
        <v>4869.0617173318651</v>
      </c>
      <c r="J12" s="123">
        <f t="shared" si="2"/>
        <v>5792.8808767759392</v>
      </c>
      <c r="K12" s="123">
        <f t="shared" si="2"/>
        <v>6891.97853727455</v>
      </c>
      <c r="M12" s="151">
        <f>EBF!P54</f>
        <v>3.5356379202871935E-2</v>
      </c>
      <c r="O12" s="1" t="s">
        <v>182</v>
      </c>
      <c r="P12" s="1" t="str">
        <f>DemTechs_INDF!S$6</f>
        <v>MANELC</v>
      </c>
      <c r="Q12" s="90" t="s">
        <v>185</v>
      </c>
      <c r="R12" s="128">
        <v>1.0416666666666666E-2</v>
      </c>
    </row>
    <row r="13" spans="2:18" ht="13.5" thickBot="1" x14ac:dyDescent="0.25">
      <c r="B13" s="121" t="s">
        <v>180</v>
      </c>
      <c r="C13" s="121" t="str">
        <f>DemTechs_INDF!S6</f>
        <v>MANELC</v>
      </c>
      <c r="D13" s="121" t="str">
        <f>E$2</f>
        <v>GWh</v>
      </c>
      <c r="E13" s="123">
        <f>EBF!G63</f>
        <v>2861.5609722222221</v>
      </c>
      <c r="F13" s="123">
        <f t="shared" ref="F13:K13" si="3">E13*(1+$M$13)^(F6-E6)</f>
        <v>4066.2762112692412</v>
      </c>
      <c r="G13" s="123">
        <f t="shared" si="3"/>
        <v>7303.3143733654952</v>
      </c>
      <c r="H13" s="123">
        <f t="shared" si="3"/>
        <v>13117.259641237719</v>
      </c>
      <c r="I13" s="123">
        <f t="shared" si="3"/>
        <v>23559.508970768085</v>
      </c>
      <c r="J13" s="123">
        <f t="shared" si="3"/>
        <v>42314.513711289808</v>
      </c>
      <c r="K13" s="123">
        <f t="shared" si="3"/>
        <v>75999.804276250114</v>
      </c>
      <c r="M13" s="152">
        <f>EBF!P55</f>
        <v>0.12425447242893894</v>
      </c>
      <c r="O13" s="1" t="s">
        <v>182</v>
      </c>
      <c r="P13" s="1" t="str">
        <f>DemTechs_INDF!S$6</f>
        <v>MANELC</v>
      </c>
      <c r="Q13" s="129" t="s">
        <v>186</v>
      </c>
      <c r="R13" s="130">
        <v>1.0416666666666666E-2</v>
      </c>
    </row>
    <row r="14" spans="2:18" ht="13.5" thickBot="1" x14ac:dyDescent="0.25">
      <c r="B14" s="140" t="s">
        <v>180</v>
      </c>
      <c r="C14" s="121" t="str">
        <f>DemTechs_INDF!S8</f>
        <v>MANHEATCOAL</v>
      </c>
      <c r="D14" s="121" t="str">
        <f>E$2</f>
        <v>GWh</v>
      </c>
      <c r="E14" s="123">
        <f>EBF!G64</f>
        <v>7676.0611111111102</v>
      </c>
      <c r="F14" s="123">
        <f t="shared" ref="F14:K14" si="4">E14*(1+$M$14)^(F6-E6)</f>
        <v>16675.142154970184</v>
      </c>
      <c r="G14" s="123">
        <f t="shared" si="4"/>
        <v>60760.51046806042</v>
      </c>
      <c r="H14" s="123">
        <f t="shared" si="4"/>
        <v>221397.7906772382</v>
      </c>
      <c r="I14" s="123">
        <f t="shared" si="4"/>
        <v>806724.32372879121</v>
      </c>
      <c r="J14" s="123">
        <f t="shared" si="4"/>
        <v>2939524.0688939015</v>
      </c>
      <c r="K14" s="123">
        <f t="shared" si="4"/>
        <v>10710972.134405939</v>
      </c>
      <c r="M14" s="152">
        <f>EBF!P56</f>
        <v>0.29512108466841558</v>
      </c>
      <c r="O14" s="1" t="s">
        <v>182</v>
      </c>
      <c r="P14" s="1" t="str">
        <f>DemTechs_INDF!S$6</f>
        <v>MANELC</v>
      </c>
      <c r="Q14" t="s">
        <v>187</v>
      </c>
      <c r="R14" s="128">
        <v>1.0416666666666666E-2</v>
      </c>
    </row>
    <row r="15" spans="2:18" ht="13.5" thickBot="1" x14ac:dyDescent="0.25">
      <c r="B15" s="140"/>
      <c r="C15" s="121"/>
      <c r="D15" s="121"/>
      <c r="E15" s="123"/>
      <c r="F15" s="123"/>
      <c r="G15" s="123"/>
      <c r="H15" s="123"/>
      <c r="I15" s="123"/>
      <c r="J15" s="123"/>
      <c r="K15" s="123"/>
      <c r="M15" s="152"/>
      <c r="O15" s="1" t="s">
        <v>182</v>
      </c>
      <c r="P15" s="1" t="str">
        <f>DemTechs_INDF!S$6</f>
        <v>MANELC</v>
      </c>
      <c r="Q15" t="s">
        <v>188</v>
      </c>
      <c r="R15" s="128">
        <v>1.0416666666666666E-2</v>
      </c>
    </row>
    <row r="16" spans="2:18" ht="13.5" thickBot="1" x14ac:dyDescent="0.25">
      <c r="B16" s="121"/>
      <c r="C16" s="121"/>
      <c r="D16" s="121"/>
      <c r="E16" s="123"/>
      <c r="F16" s="123"/>
      <c r="K16" s="5"/>
      <c r="M16" s="150"/>
      <c r="O16" s="1" t="s">
        <v>182</v>
      </c>
      <c r="P16" s="1" t="str">
        <f>DemTechs_INDF!S$6</f>
        <v>MANELC</v>
      </c>
      <c r="Q16" t="s">
        <v>189</v>
      </c>
      <c r="R16" s="128">
        <v>1.0416666666666666E-2</v>
      </c>
    </row>
    <row r="17" spans="2:18" x14ac:dyDescent="0.2">
      <c r="B17" s="121"/>
      <c r="C17" s="121"/>
      <c r="D17" s="140" t="s">
        <v>247</v>
      </c>
      <c r="E17" s="253">
        <f t="shared" ref="E17:K17" si="5">E13/(SUM(E12:E14))</f>
        <v>0.21772937139587065</v>
      </c>
      <c r="F17" s="253">
        <f t="shared" si="5"/>
        <v>0.17206109656635865</v>
      </c>
      <c r="G17" s="253">
        <f t="shared" si="5"/>
        <v>0.10213892663798628</v>
      </c>
      <c r="H17" s="253">
        <f t="shared" si="5"/>
        <v>5.4974186089404971E-2</v>
      </c>
      <c r="I17" s="253">
        <f t="shared" si="5"/>
        <v>2.820981538622036E-2</v>
      </c>
      <c r="J17" s="253">
        <f t="shared" si="5"/>
        <v>1.4163230715870792E-2</v>
      </c>
      <c r="K17" s="253">
        <f t="shared" si="5"/>
        <v>7.0410193105184087E-3</v>
      </c>
      <c r="M17" s="150"/>
      <c r="N17" s="5"/>
      <c r="O17" s="1" t="s">
        <v>182</v>
      </c>
      <c r="P17" s="1" t="str">
        <f>DemTechs_INDF!S$6</f>
        <v>MANELC</v>
      </c>
      <c r="Q17" t="s">
        <v>190</v>
      </c>
      <c r="R17" s="130">
        <v>1.0416666666666666E-2</v>
      </c>
    </row>
    <row r="18" spans="2:18" x14ac:dyDescent="0.2">
      <c r="B18" s="1"/>
      <c r="D18" t="s">
        <v>454</v>
      </c>
      <c r="E18" s="253">
        <f t="shared" ref="E18:K18" si="6">E12/(E12+E13+E14)</f>
        <v>0.19821738747377715</v>
      </c>
      <c r="F18" s="253">
        <f t="shared" si="6"/>
        <v>0.12234412936675308</v>
      </c>
      <c r="G18" s="253">
        <f t="shared" si="6"/>
        <v>4.8108070284866931E-2</v>
      </c>
      <c r="H18" s="253">
        <f t="shared" si="6"/>
        <v>1.7151877024401352E-2</v>
      </c>
      <c r="I18" s="253">
        <f t="shared" si="6"/>
        <v>5.8301440968260955E-3</v>
      </c>
      <c r="J18" s="253">
        <f t="shared" si="6"/>
        <v>1.9389543012860641E-3</v>
      </c>
      <c r="K18" s="253">
        <f t="shared" si="6"/>
        <v>6.3850893342093818E-4</v>
      </c>
      <c r="M18" s="150"/>
      <c r="O18" s="1" t="s">
        <v>182</v>
      </c>
      <c r="P18" s="1" t="str">
        <f>DemTechs_INDF!S$6</f>
        <v>MANELC</v>
      </c>
      <c r="Q18" t="s">
        <v>191</v>
      </c>
      <c r="R18" s="128">
        <v>1.0416666666666666E-2</v>
      </c>
    </row>
    <row r="19" spans="2:18" x14ac:dyDescent="0.2">
      <c r="D19" t="s">
        <v>453</v>
      </c>
      <c r="E19" s="253">
        <f t="shared" ref="E19:K19" si="7">E14/(E12+E13+E14)</f>
        <v>0.58405324113035217</v>
      </c>
      <c r="F19" s="253">
        <f t="shared" si="7"/>
        <v>0.70559477406688831</v>
      </c>
      <c r="G19" s="253">
        <f t="shared" si="7"/>
        <v>0.84975300307714685</v>
      </c>
      <c r="H19" s="253">
        <f t="shared" si="7"/>
        <v>0.92787393688619357</v>
      </c>
      <c r="I19" s="253">
        <f t="shared" si="7"/>
        <v>0.9659600405169535</v>
      </c>
      <c r="J19" s="253">
        <f t="shared" si="7"/>
        <v>0.98389781498284312</v>
      </c>
      <c r="K19" s="253">
        <f t="shared" si="7"/>
        <v>0.99232047175606064</v>
      </c>
      <c r="O19" s="1" t="s">
        <v>182</v>
      </c>
      <c r="P19" s="1" t="str">
        <f>DemTechs_INDF!S$6</f>
        <v>MANELC</v>
      </c>
      <c r="Q19" t="s">
        <v>192</v>
      </c>
      <c r="R19" s="128">
        <v>1.0416666666666666E-2</v>
      </c>
    </row>
    <row r="20" spans="2:18" x14ac:dyDescent="0.2">
      <c r="E20" s="264">
        <f>SUM(E17:E19)</f>
        <v>1</v>
      </c>
      <c r="F20" s="264">
        <f t="shared" ref="F20:K20" si="8">SUM(F17:F19)</f>
        <v>1</v>
      </c>
      <c r="G20" s="264">
        <f t="shared" si="8"/>
        <v>1</v>
      </c>
      <c r="H20" s="264">
        <f t="shared" si="8"/>
        <v>0.99999999999999989</v>
      </c>
      <c r="I20" s="264">
        <f t="shared" si="8"/>
        <v>1</v>
      </c>
      <c r="J20" s="264">
        <f t="shared" si="8"/>
        <v>1</v>
      </c>
      <c r="K20" s="264">
        <f t="shared" si="8"/>
        <v>1</v>
      </c>
      <c r="O20" s="1" t="s">
        <v>182</v>
      </c>
      <c r="P20" s="1" t="str">
        <f>DemTechs_INDF!S$6</f>
        <v>MANELC</v>
      </c>
      <c r="Q20" t="s">
        <v>193</v>
      </c>
      <c r="R20" s="128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t="s">
        <v>194</v>
      </c>
      <c r="R21" s="130">
        <v>1.0416666666666666E-2</v>
      </c>
    </row>
    <row r="22" spans="2:18" x14ac:dyDescent="0.2">
      <c r="D22" t="str">
        <f>C9</f>
        <v>MANHEAT</v>
      </c>
      <c r="E22" s="112">
        <f>E9/(E9+E10)</f>
        <v>0.78227062860412933</v>
      </c>
      <c r="F22" s="112">
        <f t="shared" ref="F22:K22" si="9">F9/(F9+F10)</f>
        <v>0.76256576228445849</v>
      </c>
      <c r="G22" s="112">
        <f t="shared" si="9"/>
        <v>0.7270847415595677</v>
      </c>
      <c r="H22" s="112">
        <f t="shared" si="9"/>
        <v>0.68846769004416375</v>
      </c>
      <c r="I22" s="112">
        <f t="shared" si="9"/>
        <v>0.64703899255905672</v>
      </c>
      <c r="J22" s="112">
        <f t="shared" si="9"/>
        <v>0.60327567141466976</v>
      </c>
      <c r="K22" s="112">
        <f t="shared" si="9"/>
        <v>0.55779458227807233</v>
      </c>
      <c r="O22" s="1" t="s">
        <v>182</v>
      </c>
      <c r="P22" s="1" t="str">
        <f>DemTechs_INDF!S$6</f>
        <v>MANELC</v>
      </c>
      <c r="Q22" t="s">
        <v>195</v>
      </c>
      <c r="R22" s="128">
        <v>1.0416666666666666E-2</v>
      </c>
    </row>
    <row r="23" spans="2:18" x14ac:dyDescent="0.2">
      <c r="D23" t="str">
        <f>C10</f>
        <v>MANELC</v>
      </c>
      <c r="E23" s="112">
        <f>E10/(E10+E9)</f>
        <v>0.21772937139587065</v>
      </c>
      <c r="F23" s="112">
        <f t="shared" ref="F23:K23" si="10">F10/(F10+F9)</f>
        <v>0.23743423771554156</v>
      </c>
      <c r="G23" s="112">
        <f t="shared" si="10"/>
        <v>0.27291525844043235</v>
      </c>
      <c r="H23" s="112">
        <f t="shared" si="10"/>
        <v>0.3115323099558362</v>
      </c>
      <c r="I23" s="112">
        <f t="shared" si="10"/>
        <v>0.35296100744094328</v>
      </c>
      <c r="J23" s="112">
        <f t="shared" si="10"/>
        <v>0.39672432858533035</v>
      </c>
      <c r="K23" s="112">
        <f t="shared" si="10"/>
        <v>0.44220541772192773</v>
      </c>
      <c r="O23" s="1" t="s">
        <v>182</v>
      </c>
      <c r="P23" s="1" t="str">
        <f>DemTechs_INDF!S$6</f>
        <v>MANELC</v>
      </c>
      <c r="Q23" t="s">
        <v>196</v>
      </c>
      <c r="R23" s="128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t="s">
        <v>197</v>
      </c>
      <c r="R24" s="128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t="s">
        <v>198</v>
      </c>
      <c r="R25" s="130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t="s">
        <v>199</v>
      </c>
      <c r="R26" s="128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t="s">
        <v>200</v>
      </c>
      <c r="R27" s="128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t="s">
        <v>201</v>
      </c>
      <c r="R28" s="128">
        <v>1.0416666666666666E-2</v>
      </c>
    </row>
    <row r="29" spans="2:18" x14ac:dyDescent="0.2">
      <c r="B29" s="122"/>
      <c r="C29" s="1" t="s">
        <v>98</v>
      </c>
      <c r="O29" s="1" t="s">
        <v>182</v>
      </c>
      <c r="P29" s="1" t="str">
        <f>DemTechs_INDF!S$6</f>
        <v>MANELC</v>
      </c>
      <c r="Q29" t="s">
        <v>202</v>
      </c>
      <c r="R29" s="130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t="s">
        <v>203</v>
      </c>
      <c r="R30" s="128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t="s">
        <v>204</v>
      </c>
      <c r="R31" s="128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t="s">
        <v>205</v>
      </c>
      <c r="R32" s="128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t="s">
        <v>206</v>
      </c>
      <c r="R33" s="130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t="s">
        <v>207</v>
      </c>
      <c r="R34" s="128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t="s">
        <v>208</v>
      </c>
      <c r="R35" s="128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209</v>
      </c>
      <c r="R36" s="128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210</v>
      </c>
      <c r="R37" s="130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211</v>
      </c>
      <c r="R38" s="128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212</v>
      </c>
      <c r="R39" s="128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213</v>
      </c>
      <c r="R40" s="128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214</v>
      </c>
      <c r="R41" s="130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215</v>
      </c>
      <c r="R42" s="128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216</v>
      </c>
      <c r="R43" s="128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217</v>
      </c>
      <c r="R44" s="128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218</v>
      </c>
      <c r="R45" s="130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219</v>
      </c>
      <c r="R46" s="128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220</v>
      </c>
      <c r="R47" s="128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221</v>
      </c>
      <c r="R48" s="128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222</v>
      </c>
      <c r="R49" s="130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223</v>
      </c>
      <c r="R50" s="128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224</v>
      </c>
      <c r="R51" s="128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225</v>
      </c>
      <c r="R52" s="128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226</v>
      </c>
      <c r="R53" s="130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227</v>
      </c>
      <c r="R54" s="128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228</v>
      </c>
      <c r="R55" s="128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229</v>
      </c>
      <c r="R56" s="128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230</v>
      </c>
      <c r="R57" s="130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231</v>
      </c>
      <c r="R58" s="128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232</v>
      </c>
      <c r="R59" s="128">
        <v>3.125E-2</v>
      </c>
    </row>
    <row r="60" spans="15:18" x14ac:dyDescent="0.2">
      <c r="O60" s="1" t="s">
        <v>182</v>
      </c>
      <c r="P60" s="154" t="s">
        <v>166</v>
      </c>
      <c r="Q60" s="154" t="s">
        <v>445</v>
      </c>
      <c r="R60" s="128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topLeftCell="A3" workbookViewId="0">
      <selection activeCell="G6" sqref="G6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2" t="s">
        <v>239</v>
      </c>
      <c r="C3" s="132"/>
      <c r="D3" s="132"/>
      <c r="E3" s="132"/>
      <c r="F3" s="132"/>
      <c r="G3" s="132"/>
      <c r="H3" s="132"/>
    </row>
    <row r="4" spans="2:9" ht="17.45" customHeight="1" x14ac:dyDescent="0.25">
      <c r="B4" s="133"/>
      <c r="C4" s="133"/>
      <c r="D4" s="133"/>
      <c r="E4" s="133"/>
      <c r="F4" s="133"/>
      <c r="G4" s="133"/>
    </row>
    <row r="5" spans="2:9" ht="18" x14ac:dyDescent="0.25">
      <c r="B5" s="134" t="s">
        <v>240</v>
      </c>
      <c r="C5" s="135"/>
    </row>
    <row r="6" spans="2:9" ht="13.5" thickBot="1" x14ac:dyDescent="0.25">
      <c r="B6" s="136" t="s">
        <v>0</v>
      </c>
      <c r="C6" s="136" t="str">
        <f>PRI_Sector_Fuels!O5</f>
        <v>MANCOALMIN</v>
      </c>
      <c r="D6" s="136" t="str">
        <f>PRI_Sector_Fuels!O6</f>
        <v>MANCOALIMP</v>
      </c>
      <c r="E6" s="136" t="str">
        <f>PRI_Sector_Fuels!O7</f>
        <v>MANOILIMP</v>
      </c>
      <c r="F6" s="136" t="str">
        <f>PRI_Sector_Fuels!O8</f>
        <v>ELC</v>
      </c>
      <c r="G6" s="136"/>
      <c r="H6" s="136"/>
      <c r="I6" s="1"/>
    </row>
    <row r="7" spans="2:9" ht="13.5" thickBot="1" x14ac:dyDescent="0.25">
      <c r="B7" s="137" t="s">
        <v>87</v>
      </c>
      <c r="C7" s="137" t="s">
        <v>241</v>
      </c>
      <c r="D7" s="137" t="s">
        <v>241</v>
      </c>
      <c r="E7" s="137" t="s">
        <v>241</v>
      </c>
      <c r="F7" s="137" t="s">
        <v>241</v>
      </c>
      <c r="G7" s="137"/>
      <c r="H7" s="137"/>
      <c r="I7" s="1"/>
    </row>
    <row r="8" spans="2:9" x14ac:dyDescent="0.2">
      <c r="B8" s="138" t="str">
        <f>DemTechs_INDF!S7</f>
        <v>MANCO2</v>
      </c>
      <c r="C8" s="139">
        <v>0.34100000000000003</v>
      </c>
      <c r="D8" s="139">
        <v>0.34100000000000003</v>
      </c>
      <c r="E8" s="139">
        <v>0.25900000000000001</v>
      </c>
      <c r="F8" s="139">
        <v>0</v>
      </c>
      <c r="G8" s="139"/>
      <c r="H8" s="139"/>
      <c r="I8" s="1"/>
    </row>
    <row r="23" spans="2:3" x14ac:dyDescent="0.2">
      <c r="B23" s="122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2025-11-11T18:01:48Z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