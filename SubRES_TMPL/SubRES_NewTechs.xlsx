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B0AB89B3-5514-4635-AA1A-91148897806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7" l="1"/>
  <c r="B31" i="7"/>
  <c r="B30" i="7"/>
  <c r="B29" i="7"/>
  <c r="B28" i="7"/>
  <c r="C24" i="7"/>
  <c r="D27" i="7"/>
  <c r="D23" i="7"/>
  <c r="D22" i="7"/>
  <c r="D21" i="7"/>
  <c r="B27" i="6"/>
  <c r="B27" i="7"/>
  <c r="B26" i="7"/>
  <c r="B25" i="7"/>
  <c r="D37" i="7"/>
  <c r="B36" i="7"/>
  <c r="B35" i="7"/>
  <c r="D35" i="6"/>
  <c r="B24" i="7"/>
  <c r="D27" i="6"/>
  <c r="D26" i="6"/>
  <c r="B35" i="6"/>
  <c r="B22" i="7"/>
  <c r="D37" i="6"/>
  <c r="D36" i="6"/>
  <c r="B37" i="6"/>
  <c r="B36" i="6"/>
  <c r="C35" i="6"/>
  <c r="C34" i="6"/>
  <c r="C33" i="6"/>
  <c r="B23" i="7"/>
  <c r="B21" i="7"/>
  <c r="C23" i="7"/>
  <c r="C21" i="7"/>
  <c r="B20" i="7"/>
  <c r="B33" i="6"/>
  <c r="B34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<sst xmlns="http://schemas.openxmlformats.org/spreadsheetml/2006/main" count="320" uniqueCount="142">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</sst>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9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0" borderId="0" xfId="0" applyNumberFormat="1" applyFont="1" applyFill="1"/>
    <xf numFmtId="2" fontId="4" fillId="10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0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0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0" borderId="0" xfId="0" applyNumberFormat="1" applyFont="1" applyFill="1"/>
    <xf numFmtId="165" fontId="4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4" fillId="11" borderId="0" xfId="0" applyFont="1" applyFill="1"/>
    <xf numFmtId="165" fontId="0" fillId="11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0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2" borderId="0" xfId="20" applyNumberFormat="1" applyFont="1" applyFill="1" applyBorder="1" applyAlignment="1">
      <alignment horizontal="left" wrapText="1"/>
    </xf>
    <xf numFmtId="0" fontId="19" fillId="8" borderId="0" xfId="0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4" zoomScale="96" zoomScaleNormal="96" workbookViewId="0">
      <selection activeCell="Q30" sqref="Q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4">
        <v>9.1191599999999994E-3</v>
      </c>
      <c r="J33" s="36"/>
      <c r="K33" s="75">
        <v>8.76</v>
      </c>
      <c r="L33" s="63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4">
        <v>6.0531600000000001E-3</v>
      </c>
      <c r="J34" s="36"/>
      <c r="K34" s="75">
        <v>8.76</v>
      </c>
      <c r="L34" s="63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">
      <c r="B35" s="19" t="str">
        <f>P37</f>
        <v>CSP</v>
      </c>
      <c r="C35" s="19" t="str">
        <f>P9</f>
        <v>SOLAR</v>
      </c>
      <c r="D35" s="19" t="str">
        <f>DemTechs_INDF!S7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6">
        <v>3.2210519999999999E-2</v>
      </c>
      <c r="J35" s="36"/>
      <c r="K35" s="75">
        <v>8.76</v>
      </c>
      <c r="L35" s="63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7">
        <v>0</v>
      </c>
      <c r="J36" s="64"/>
      <c r="K36" s="75">
        <v>8.76</v>
      </c>
      <c r="L36" s="63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7">
        <v>0</v>
      </c>
      <c r="J37" s="64"/>
      <c r="K37" s="75">
        <v>8.76</v>
      </c>
      <c r="L37" s="63"/>
      <c r="N37" s="21" t="s">
        <v>120</v>
      </c>
      <c r="O37" s="21"/>
      <c r="P37" s="19" t="s">
        <v>65</v>
      </c>
      <c r="Q37" s="37" t="s">
        <v>119</v>
      </c>
      <c r="R37" s="21" t="s">
        <v>58</v>
      </c>
      <c r="S37" s="21"/>
      <c r="T37" s="21" t="s">
        <v>89</v>
      </c>
    </row>
    <row r="38" spans="2:20" x14ac:dyDescent="0.2">
      <c r="B38" s="12"/>
      <c r="C38" s="12"/>
      <c r="D38" s="12"/>
      <c r="E38" s="1"/>
      <c r="F38" s="1"/>
      <c r="G38" s="1"/>
      <c r="I38" s="67"/>
      <c r="J38" s="64"/>
      <c r="K38" s="68"/>
      <c r="L38" s="63"/>
      <c r="N38" s="72"/>
      <c r="O38" s="71"/>
      <c r="P38" s="69"/>
      <c r="Q38" s="73"/>
    </row>
    <row r="39" spans="2:20" x14ac:dyDescent="0.2">
      <c r="B39" s="12"/>
      <c r="C39" s="15"/>
      <c r="D39" s="12"/>
      <c r="E39" s="1"/>
      <c r="F39" s="1"/>
      <c r="G39" s="1"/>
      <c r="I39" s="67"/>
      <c r="J39" s="64"/>
      <c r="K39" s="68"/>
      <c r="L39" s="63"/>
      <c r="N39" s="71"/>
      <c r="O39" s="71"/>
      <c r="P39" s="70"/>
      <c r="Q39" s="73"/>
    </row>
    <row r="40" spans="2:20" x14ac:dyDescent="0.2">
      <c r="B40" s="12"/>
      <c r="C40" s="15"/>
      <c r="D40" s="12"/>
      <c r="E40" s="1"/>
      <c r="F40" s="1"/>
      <c r="G40" s="1"/>
      <c r="I40" s="67"/>
      <c r="J40" s="64"/>
      <c r="K40" s="68"/>
      <c r="L40" s="63"/>
      <c r="N40" s="71"/>
      <c r="O40" s="71"/>
      <c r="P40" s="70"/>
      <c r="Q40" s="73"/>
    </row>
    <row r="41" spans="2:20" x14ac:dyDescent="0.2">
      <c r="B41" s="12"/>
      <c r="C41" s="15"/>
      <c r="D41" s="12"/>
      <c r="E41" s="1"/>
      <c r="F41" s="1"/>
      <c r="G41" s="1"/>
      <c r="I41" s="67"/>
      <c r="J41" s="64"/>
      <c r="K41" s="68"/>
      <c r="L41" s="63"/>
      <c r="N41" s="71"/>
      <c r="O41" s="71"/>
      <c r="P41" s="70"/>
      <c r="Q41" s="73"/>
    </row>
    <row r="42" spans="2:20" x14ac:dyDescent="0.2">
      <c r="B42" s="12"/>
      <c r="C42" s="1"/>
      <c r="D42" s="12"/>
      <c r="E42" s="1"/>
      <c r="F42" s="1"/>
      <c r="G42" s="1"/>
      <c r="I42" s="67"/>
      <c r="J42" s="64"/>
      <c r="K42" s="68"/>
      <c r="L42" s="63"/>
      <c r="N42" s="71"/>
      <c r="O42" s="71"/>
      <c r="P42" s="70"/>
      <c r="Q42" s="73"/>
    </row>
    <row r="43" spans="2:20" x14ac:dyDescent="0.2">
      <c r="B43" s="8"/>
      <c r="C43" s="12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8"/>
      <c r="C44" s="12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8"/>
      <c r="C45" s="12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8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12"/>
      <c r="C47" s="1"/>
      <c r="D47" s="12"/>
      <c r="E47" s="1"/>
      <c r="F47" s="1"/>
      <c r="G47" s="1"/>
      <c r="I47" s="63"/>
      <c r="J47" s="64"/>
      <c r="K47" s="63"/>
      <c r="L47" s="63"/>
      <c r="N47" s="71"/>
      <c r="O47" s="71"/>
      <c r="P47" s="70"/>
      <c r="Q47" s="73"/>
    </row>
    <row r="48" spans="2:20" x14ac:dyDescent="0.2">
      <c r="B48" s="12"/>
      <c r="C48" s="1"/>
      <c r="D48" s="12"/>
      <c r="E48" s="1"/>
      <c r="F48" s="1"/>
      <c r="G48" s="1"/>
      <c r="I48" s="63"/>
      <c r="J48" s="64"/>
      <c r="K48" s="63"/>
      <c r="L48" s="63"/>
      <c r="N48" s="71"/>
      <c r="O48" s="71"/>
      <c r="P48" s="70"/>
      <c r="Q48" s="73"/>
    </row>
    <row r="49" spans="1:23" x14ac:dyDescent="0.2">
      <c r="B49" s="12"/>
      <c r="D49" s="12"/>
      <c r="E49" s="1"/>
      <c r="F49" s="1"/>
      <c r="G49" s="1"/>
      <c r="I49" s="63"/>
      <c r="J49" s="64"/>
      <c r="K49" s="63"/>
      <c r="L49" s="63"/>
      <c r="P49" s="15"/>
      <c r="Q49" s="34"/>
    </row>
    <row r="50" spans="1:23" x14ac:dyDescent="0.2">
      <c r="I50" s="63"/>
      <c r="J50" s="64"/>
      <c r="K50" s="63"/>
      <c r="L50" s="63"/>
      <c r="P50" s="15"/>
      <c r="Q50" s="34"/>
    </row>
    <row r="51" spans="1:23" x14ac:dyDescent="0.2">
      <c r="B51" s="30"/>
      <c r="C51" s="1" t="s">
        <v>83</v>
      </c>
      <c r="I51" s="63"/>
      <c r="J51" s="64"/>
      <c r="K51" s="63"/>
      <c r="L51" s="63"/>
    </row>
    <row r="52" spans="1:23" x14ac:dyDescent="0.2">
      <c r="B52" s="38"/>
      <c r="C52" s="1" t="s">
        <v>84</v>
      </c>
      <c r="I52" s="63"/>
      <c r="J52" s="64"/>
      <c r="K52" s="63"/>
      <c r="L52" s="63"/>
    </row>
    <row r="53" spans="1:23" x14ac:dyDescent="0.2">
      <c r="I53" s="63"/>
      <c r="J53" s="64"/>
      <c r="K53" s="63"/>
      <c r="L53" s="63"/>
    </row>
    <row r="54" spans="1:23" x14ac:dyDescent="0.2">
      <c r="I54" s="65"/>
      <c r="J54" s="65"/>
      <c r="K54" s="65"/>
    </row>
    <row r="61" spans="1:23" s="1" customFormat="1" x14ac:dyDescent="0.2">
      <c r="A61"/>
      <c r="B61"/>
      <c r="C61"/>
      <c r="D61"/>
      <c r="E61"/>
      <c r="F61"/>
      <c r="G61"/>
      <c r="H61"/>
      <c r="I61"/>
      <c r="J61"/>
      <c r="K61"/>
      <c r="L61" s="65"/>
      <c r="M61"/>
      <c r="N61"/>
      <c r="O61"/>
      <c r="P61"/>
      <c r="Q61"/>
      <c r="R61"/>
      <c r="S61"/>
      <c r="T61"/>
      <c r="U61"/>
      <c r="V61"/>
      <c r="W61"/>
    </row>
    <row r="62" spans="1:23" x14ac:dyDescent="0.2">
      <c r="W62" s="1"/>
    </row>
    <row r="63" spans="1:23" x14ac:dyDescent="0.2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A18" zoomScale="118" zoomScaleNormal="118" workbookViewId="0">
      <selection activeCell="F33" sqref="F33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25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</row>
    <row r="18" spans="2:25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</row>
    <row r="19" spans="2:25" ht="23.2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</row>
    <row r="20" spans="2:25" x14ac:dyDescent="0.2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/>
      <c r="X20" s="56"/>
      <c r="Y20" s="56"/>
    </row>
    <row r="21" spans="2:25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56"/>
      <c r="X21" s="56"/>
      <c r="Y21" s="56"/>
    </row>
    <row r="22" spans="2:25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56"/>
      <c r="X22" s="56"/>
      <c r="Y22" s="56"/>
    </row>
    <row r="23" spans="2:25" s="56" customFormat="1" x14ac:dyDescent="0.2">
      <c r="B23" s="9" t="str">
        <f>S22</f>
        <v>BIOKiln</v>
      </c>
      <c r="C23" s="9" t="str">
        <f>PRI_Sector_Fuels!P5</f>
        <v>MANBIOMIN</v>
      </c>
      <c r="D23" s="54" t="str">
        <f>S6</f>
        <v>BIOHEAT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</row>
    <row r="24" spans="2:25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</row>
    <row r="25" spans="2:25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</row>
    <row r="26" spans="2:25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1125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</row>
    <row r="27" spans="2:25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</row>
    <row r="28" spans="2:25" s="56" customFormat="1" x14ac:dyDescent="0.2">
      <c r="B28" s="8" t="str">
        <f>S28</f>
        <v>RNWHEAT</v>
      </c>
      <c r="C28" s="16" t="s">
        <v>121</v>
      </c>
      <c r="D28" s="54" t="s">
        <v>141</v>
      </c>
      <c r="E28" s="17">
        <v>2030</v>
      </c>
      <c r="F28" s="55"/>
      <c r="G28" s="56">
        <v>1</v>
      </c>
      <c r="H28" s="56">
        <v>1</v>
      </c>
      <c r="I28" s="56">
        <v>0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8"/>
      <c r="X28" s="8"/>
      <c r="Y28" s="8"/>
    </row>
    <row r="29" spans="2:25" s="56" customFormat="1" x14ac:dyDescent="0.2">
      <c r="B29" s="8" t="str">
        <f>S28</f>
        <v>RNWHEAT</v>
      </c>
      <c r="C29" s="16" t="s">
        <v>123</v>
      </c>
      <c r="D29" s="54" t="s">
        <v>141</v>
      </c>
      <c r="E29" s="17">
        <v>2030</v>
      </c>
      <c r="F29" s="55"/>
      <c r="G29" s="56">
        <v>1</v>
      </c>
      <c r="H29" s="56">
        <v>1</v>
      </c>
      <c r="I29" s="56">
        <v>0</v>
      </c>
      <c r="J29" s="56">
        <v>0</v>
      </c>
      <c r="K29" s="8"/>
      <c r="M29" s="57">
        <v>8.76</v>
      </c>
    </row>
    <row r="30" spans="2:25" s="56" customFormat="1" x14ac:dyDescent="0.2">
      <c r="B30" s="8" t="str">
        <f>S28</f>
        <v>RNWHEAT</v>
      </c>
      <c r="C30" s="16" t="s">
        <v>122</v>
      </c>
      <c r="D30" s="54" t="s">
        <v>141</v>
      </c>
      <c r="E30" s="17">
        <v>2030</v>
      </c>
      <c r="F30" s="55"/>
      <c r="G30" s="56">
        <v>1</v>
      </c>
      <c r="H30" s="56">
        <v>1</v>
      </c>
      <c r="I30" s="56">
        <v>0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6" customFormat="1" x14ac:dyDescent="0.2">
      <c r="B31" s="16" t="str">
        <f>S23</f>
        <v>GASBoiler</v>
      </c>
      <c r="C31" s="16" t="s">
        <v>67</v>
      </c>
      <c r="D31" s="54" t="s">
        <v>136</v>
      </c>
      <c r="E31" s="17">
        <v>2030</v>
      </c>
      <c r="F31" s="55"/>
      <c r="G31" s="56">
        <v>1</v>
      </c>
      <c r="H31" s="56">
        <v>1</v>
      </c>
      <c r="I31" s="56">
        <v>0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</row>
    <row r="33" spans="2:25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</row>
    <row r="34" spans="2:25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6" customFormat="1" x14ac:dyDescent="0.2">
      <c r="B35" s="16" t="str">
        <f>S35</f>
        <v>WNDTRBN</v>
      </c>
      <c r="C35" s="16"/>
      <c r="D35" s="54" t="s">
        <v>69</v>
      </c>
      <c r="E35" s="17">
        <v>2030</v>
      </c>
      <c r="F35" s="55"/>
      <c r="G35" s="56">
        <v>1</v>
      </c>
      <c r="H35" s="56">
        <v>0.97</v>
      </c>
      <c r="I35" s="56">
        <v>25</v>
      </c>
      <c r="J35" s="81">
        <v>1041</v>
      </c>
      <c r="K35" s="8">
        <v>38</v>
      </c>
      <c r="Q35" s="21" t="s">
        <v>69</v>
      </c>
      <c r="R35" s="21"/>
      <c r="S35" s="19" t="s">
        <v>94</v>
      </c>
      <c r="T35" s="37" t="s">
        <v>97</v>
      </c>
      <c r="U35" s="21" t="s">
        <v>58</v>
      </c>
      <c r="V35" s="21"/>
      <c r="W35" s="21" t="s">
        <v>89</v>
      </c>
      <c r="X35" s="8"/>
      <c r="Y35" s="8"/>
    </row>
    <row r="36" spans="2:25" s="56" customFormat="1" x14ac:dyDescent="0.2">
      <c r="B36" s="16" t="str">
        <f>S36</f>
        <v>SOLPV</v>
      </c>
      <c r="C36" s="8"/>
      <c r="D36" s="54" t="s">
        <v>69</v>
      </c>
      <c r="E36" s="17">
        <v>2030</v>
      </c>
      <c r="F36" s="58"/>
      <c r="G36" s="8">
        <v>1</v>
      </c>
      <c r="H36" s="8">
        <v>0.99</v>
      </c>
      <c r="I36" s="8">
        <v>25</v>
      </c>
      <c r="J36" s="82">
        <v>691</v>
      </c>
      <c r="K36" s="8">
        <v>1125</v>
      </c>
      <c r="Q36" s="21" t="s">
        <v>69</v>
      </c>
      <c r="R36" s="21"/>
      <c r="S36" s="19" t="s">
        <v>95</v>
      </c>
      <c r="T36" s="37" t="s">
        <v>96</v>
      </c>
      <c r="U36" s="21" t="s">
        <v>58</v>
      </c>
      <c r="V36" s="21"/>
      <c r="W36" s="21" t="s">
        <v>89</v>
      </c>
      <c r="X36" s="8"/>
      <c r="Y36" s="8"/>
    </row>
    <row r="37" spans="2:25" s="57" customFormat="1" x14ac:dyDescent="0.2">
      <c r="B37" s="8" t="s">
        <v>65</v>
      </c>
      <c r="C37" s="8"/>
      <c r="D37" s="8" t="str">
        <f>S7</f>
        <v>SOLHEAT</v>
      </c>
      <c r="E37" s="17">
        <v>2030</v>
      </c>
      <c r="F37" s="58"/>
      <c r="G37" s="8">
        <v>1</v>
      </c>
      <c r="H37" s="8">
        <v>1</v>
      </c>
      <c r="I37" s="8">
        <v>25</v>
      </c>
      <c r="J37" s="82">
        <v>36377</v>
      </c>
      <c r="K37" s="8">
        <v>0</v>
      </c>
      <c r="L37" s="57">
        <v>14</v>
      </c>
      <c r="Q37" s="8"/>
      <c r="R37" s="8"/>
      <c r="S37" s="8"/>
      <c r="T37" s="8"/>
      <c r="U37" s="16"/>
      <c r="V37" s="16"/>
      <c r="W37" s="62"/>
      <c r="X37" s="8"/>
      <c r="Y37" s="8"/>
    </row>
    <row r="38" spans="2:25" x14ac:dyDescent="0.2">
      <c r="F38" s="58"/>
      <c r="G38" s="10"/>
      <c r="H38" s="60"/>
      <c r="R38" s="57"/>
      <c r="T38" s="57"/>
      <c r="U38" s="59"/>
      <c r="V38" s="59"/>
    </row>
    <row r="39" spans="2:25" x14ac:dyDescent="0.2">
      <c r="H39" s="60"/>
    </row>
    <row r="40" spans="2:25" x14ac:dyDescent="0.2">
      <c r="B40" s="53"/>
      <c r="C40" s="8" t="s">
        <v>83</v>
      </c>
      <c r="H40" s="60"/>
    </row>
    <row r="41" spans="2:25" x14ac:dyDescent="0.2">
      <c r="B41" s="61"/>
      <c r="C41" s="8" t="s">
        <v>84</v>
      </c>
      <c r="H41" s="60"/>
    </row>
    <row r="42" spans="2:25" x14ac:dyDescent="0.2">
      <c r="E42" s="8" t="s">
        <v>90</v>
      </c>
      <c r="F42" s="8" t="s">
        <v>91</v>
      </c>
      <c r="H42" s="60"/>
    </row>
    <row r="44" spans="2:25" x14ac:dyDescent="0.2">
      <c r="E44" s="8" t="s">
        <v>92</v>
      </c>
      <c r="F44" s="8">
        <f>24*365</f>
        <v>8760</v>
      </c>
    </row>
    <row r="45" spans="2:25" x14ac:dyDescent="0.2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2025-11-13T09:25:12Z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