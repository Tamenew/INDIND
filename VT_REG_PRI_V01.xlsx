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CDBBD2F9-8E73-4B9F-820B-87BD35DB2922}" xr6:coauthVersionLast="47" xr6:coauthVersionMax="47" xr10:uidLastSave="{00000000-0000-0000-0000-000000000000}"/>
  <bookViews>
    <workbookView xWindow="-108" yWindow="-108" windowWidth="23256" windowHeight="12456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<sst xmlns="http://schemas.openxmlformats.org/spreadsheetml/2006/main" count="852" uniqueCount="452">
  <si>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</si>
  <si>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</si>
  <si>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</si>
  <si>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</si>
  <si>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</si>
  <si>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</si>
  <si>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</si>
  <si>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</si>
  <si>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</si>
  <si>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</si>
  <si>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</si>
  <si>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</si>
  <si>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</si>
  <si>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</si>
  <si>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</si>
  <si>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</si>
  <si>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</si>
  <si>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</si>
  <si>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</si>
  <si>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</si>
  <si>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</si>
  <si>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</si>
  <si>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</si>
  <si>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</si>
  <si>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</si>
  <si>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</si>
  <si>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</si>
  <si>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</si>
  <si>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</si>
  <si>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</si>
  <si>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</si>
  <si>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</si>
  <si>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</si>
  <si>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</si>
  <si>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</si>
  <si>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</si>
  <si>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</si>
  <si>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</si>
  <si>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</si>
  <si>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</si>
  <si>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</si>
  <si>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</si>
  <si>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</si>
  <si>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</si>
  <si>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</si>
  <si>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</si>
  <si>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</si>
  <si>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</si>
  <si>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</si>
  <si>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</si>
  <si>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</si>
  <si>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</si>
  <si>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</si>
  <si>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</si>
  <si>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</si>
  <si>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</si>
  <si>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</si>
  <si>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</si>
  <si>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</si>
  <si>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</si>
  <si>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</si>
  <si>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</si>
  <si>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</si>
  <si>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</si>
  <si>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</si>
  <si>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</si>
  <si>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</si>
  <si>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</si>
  <si>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</si>
  <si>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</si>
  <si>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</si>
  <si>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</si>
  <si>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</si>
  <si>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</si>
  <si>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</si>
  <si>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</si>
  <si>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</si>
  <si>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</si>
  <si>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</si>
  <si>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</si>
  <si>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</si>
  <si>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</si>
  <si>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</si>
  <si>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</si>
  <si>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</si>
  <si>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</si>
  <si>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</si>
  <si>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</si>
  <si>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</si>
  <si>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</si>
  <si>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</si>
  <si>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</si>
  <si>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</si>
  <si>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</si>
  <si>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</si>
  <si>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</si>
  <si>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</si>
  <si>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</si>
  <si>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</si>
  <si>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</si>
  <si>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</si>
  <si>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</si>
  <si>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</si>
  <si>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</si>
  <si>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</si>
  <si>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</si>
  <si>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</si>
  <si>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</si>
  <si>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</si>
  <si>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</si>
  <si>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</si>
  <si>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</si>
  <si>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</si>
  <si>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</si>
  <si>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</si>
  <si>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</si>
  <si>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</si>
  <si>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</si>
  <si>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</si>
  <si>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</si>
  <si>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</si>
  <si>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</si>
  <si>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</si>
  <si>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</si>
  <si>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</si>
  <si>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</si>
  <si>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</si>
  <si>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</si>
  <si>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</si>
  <si>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</si>
  <si>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</si>
  <si>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</si>
  <si>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</si>
  <si>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</si>
  <si>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</si>
  <si>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</si>
  <si>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</si>
  <si>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</si>
  <si>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</si>
  <si>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</si>
  <si>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</si>
  <si>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</si>
  <si>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</si>
  <si>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</si>
  <si>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</si>
  <si>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</si>
  <si>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</si>
  <si>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</si>
  <si>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</si>
  <si>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</si>
  <si>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</si>
  <si>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</si>
  <si>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Share-I~UP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</si>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</sst>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8671875" defaultRowHeight="14.4" x14ac:dyDescent="0.3"/>
  <cols>
    <col min="1" max="1" width="99.5546875" style="178" customWidth="1"/>
    <col min="2" max="2" width="11.109375" style="178" customWidth="1"/>
    <col min="3" max="3" width="10.44140625" style="178" customWidth="1"/>
    <col min="4" max="4" width="10.5546875" style="178" customWidth="1"/>
    <col min="5" max="5" width="12.109375" style="178" customWidth="1"/>
    <col min="6" max="6" width="11.5546875" style="178" customWidth="1"/>
    <col min="7" max="7" width="14.5546875" style="178" customWidth="1"/>
    <col min="8" max="8" width="10" style="178" customWidth="1"/>
    <col min="9" max="9" width="10" style="179" customWidth="1"/>
    <col min="10" max="10" width="9" style="180" customWidth="1"/>
    <col min="11" max="11" width="8.88671875" style="178"/>
    <col min="12" max="12" width="8.88671875" style="181"/>
    <col min="13" max="13" width="10" style="180" customWidth="1"/>
    <col min="14" max="14" width="8.88671875" style="178"/>
    <col min="15" max="15" width="11" style="179" customWidth="1"/>
    <col min="16" max="17" width="10" style="180" customWidth="1"/>
    <col min="18" max="16384" width="8.88671875" style="178"/>
  </cols>
  <sheetData>
    <row r="1" spans="1:32" ht="16.2" thickBot="1" x14ac:dyDescent="0.35">
      <c r="A1" s="177" t="s">
        <v>260</v>
      </c>
      <c r="B1" s="177"/>
      <c r="C1" s="177"/>
      <c r="D1" s="177"/>
      <c r="V1" s="182" t="s">
        <v>261</v>
      </c>
    </row>
    <row r="2" spans="1:32" ht="15" thickBot="1" x14ac:dyDescent="0.35">
      <c r="A2" s="274" t="s">
        <v>142</v>
      </c>
      <c r="B2" s="275"/>
      <c r="C2" s="275"/>
      <c r="D2" s="275"/>
      <c r="E2" s="276"/>
      <c r="F2" s="274" t="s">
        <v>262</v>
      </c>
      <c r="G2" s="275"/>
      <c r="H2" s="275"/>
      <c r="I2" s="276"/>
      <c r="J2" s="280" t="s">
        <v>263</v>
      </c>
      <c r="K2" s="281"/>
      <c r="L2" s="281"/>
      <c r="M2" s="282"/>
      <c r="N2" s="274" t="s">
        <v>264</v>
      </c>
      <c r="O2" s="275"/>
      <c r="P2" s="275"/>
      <c r="Q2" s="275"/>
      <c r="R2" s="276"/>
      <c r="V2" s="183" t="s">
        <v>142</v>
      </c>
      <c r="W2" s="271" t="s">
        <v>265</v>
      </c>
      <c r="X2" s="272"/>
      <c r="Y2" s="272"/>
      <c r="Z2" s="272"/>
      <c r="AA2" s="273"/>
      <c r="AB2" s="271" t="s">
        <v>266</v>
      </c>
      <c r="AC2" s="272"/>
      <c r="AD2" s="272"/>
      <c r="AE2" s="272"/>
      <c r="AF2" s="273"/>
    </row>
    <row r="3" spans="1:32" ht="24.6" customHeight="1" thickBot="1" x14ac:dyDescent="0.35">
      <c r="A3" s="274" t="s">
        <v>267</v>
      </c>
      <c r="B3" s="275"/>
      <c r="C3" s="275"/>
      <c r="D3" s="275"/>
      <c r="E3" s="276"/>
      <c r="F3" s="184">
        <v>5</v>
      </c>
      <c r="G3" s="184" t="s">
        <v>268</v>
      </c>
      <c r="H3" s="184" t="s">
        <v>269</v>
      </c>
      <c r="I3" s="185">
        <v>10</v>
      </c>
      <c r="J3" s="186">
        <v>5</v>
      </c>
      <c r="K3" s="184" t="s">
        <v>268</v>
      </c>
      <c r="L3" s="187" t="s">
        <v>269</v>
      </c>
      <c r="M3" s="186">
        <v>10</v>
      </c>
      <c r="N3" s="184">
        <v>5</v>
      </c>
      <c r="O3" s="185" t="s">
        <v>268</v>
      </c>
      <c r="P3" s="186" t="s">
        <v>269</v>
      </c>
      <c r="Q3" s="186"/>
      <c r="R3" s="184">
        <v>10</v>
      </c>
      <c r="V3" s="188" t="s">
        <v>270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" thickBot="1" x14ac:dyDescent="0.35">
      <c r="A4" s="277" t="s">
        <v>271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" thickBot="1" x14ac:dyDescent="0.35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272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" thickBot="1" x14ac:dyDescent="0.35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" thickBot="1" x14ac:dyDescent="0.35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273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" thickBot="1" x14ac:dyDescent="0.35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" thickBot="1" x14ac:dyDescent="0.35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274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" thickBot="1" x14ac:dyDescent="0.35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" thickBot="1" x14ac:dyDescent="0.35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" thickBot="1" x14ac:dyDescent="0.35">
      <c r="A12" s="277" t="s">
        <v>275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" thickBot="1" x14ac:dyDescent="0.35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" thickBot="1" x14ac:dyDescent="0.35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" thickBot="1" x14ac:dyDescent="0.35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" thickBot="1" x14ac:dyDescent="0.35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" thickBot="1" x14ac:dyDescent="0.35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" thickBot="1" x14ac:dyDescent="0.35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" thickBot="1" x14ac:dyDescent="0.35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3">
      <c r="B23" s="200" t="s">
        <v>276</v>
      </c>
      <c r="C23" s="200"/>
      <c r="D23" s="200"/>
      <c r="E23" s="200" t="s">
        <v>277</v>
      </c>
      <c r="F23" s="200"/>
      <c r="G23" s="178" t="s">
        <v>278</v>
      </c>
    </row>
    <row r="24" spans="1:24" x14ac:dyDescent="0.3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3">
      <c r="A25" s="6" t="s">
        <v>279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280</v>
      </c>
      <c r="X25" s="6" t="s">
        <v>281</v>
      </c>
    </row>
    <row r="26" spans="1:24" s="202" customFormat="1" x14ac:dyDescent="0.3">
      <c r="A26" s="202" t="s">
        <v>282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283</v>
      </c>
    </row>
    <row r="27" spans="1:24" x14ac:dyDescent="0.3">
      <c r="A27" s="178" t="s">
        <v>284</v>
      </c>
      <c r="E27" s="178">
        <f>(E50+E52+E51)*0.2777778</f>
        <v>19062.637636122003</v>
      </c>
    </row>
    <row r="28" spans="1:24" s="204" customFormat="1" x14ac:dyDescent="0.3">
      <c r="A28" s="204" t="s">
        <v>285</v>
      </c>
      <c r="E28" s="205">
        <f>E26/E25</f>
        <v>0.1364528188872936</v>
      </c>
      <c r="O28" s="205">
        <f>O26/O25</f>
        <v>0</v>
      </c>
    </row>
    <row r="29" spans="1:24" x14ac:dyDescent="0.3">
      <c r="A29" s="178" t="s">
        <v>286</v>
      </c>
      <c r="E29" s="206">
        <f>1-E28</f>
        <v>0.86354718111270645</v>
      </c>
      <c r="O29" s="207">
        <f>1-O28</f>
        <v>1</v>
      </c>
    </row>
    <row r="30" spans="1:24" s="208" customFormat="1" x14ac:dyDescent="0.3">
      <c r="A30" s="208" t="s">
        <v>287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3">
      <c r="A31" s="178" t="s">
        <v>288</v>
      </c>
      <c r="E31" s="206"/>
      <c r="O31" s="207">
        <f>(O26-E26)/E26</f>
        <v>-1</v>
      </c>
    </row>
    <row r="32" spans="1:24" s="208" customFormat="1" x14ac:dyDescent="0.3">
      <c r="A32" s="208" t="s">
        <v>289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3">
      <c r="E33" s="206"/>
      <c r="O33" s="207"/>
    </row>
    <row r="34" spans="1:20" x14ac:dyDescent="0.3">
      <c r="E34" s="206"/>
      <c r="O34" s="207"/>
    </row>
    <row r="35" spans="1:20" x14ac:dyDescent="0.3">
      <c r="E35" s="206"/>
      <c r="O35" s="207"/>
    </row>
    <row r="36" spans="1:20" x14ac:dyDescent="0.3">
      <c r="E36" s="206"/>
      <c r="O36" s="207"/>
    </row>
    <row r="37" spans="1:20" s="210" customFormat="1" x14ac:dyDescent="0.3">
      <c r="A37" s="210" t="s">
        <v>159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3">
      <c r="A38" s="211" t="s">
        <v>290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291</v>
      </c>
    </row>
    <row r="39" spans="1:20" s="210" customFormat="1" x14ac:dyDescent="0.3">
      <c r="A39" s="210" t="s">
        <v>292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293</v>
      </c>
    </row>
    <row r="40" spans="1:20" s="210" customFormat="1" x14ac:dyDescent="0.3">
      <c r="A40" s="210" t="s">
        <v>158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294</v>
      </c>
    </row>
    <row r="41" spans="1:20" s="210" customFormat="1" x14ac:dyDescent="0.3">
      <c r="A41" s="210" t="s">
        <v>295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296</v>
      </c>
    </row>
    <row r="42" spans="1:20" s="210" customFormat="1" x14ac:dyDescent="0.3">
      <c r="A42" s="210" t="s">
        <v>297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3">
      <c r="A43" s="210" t="s">
        <v>298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3">
      <c r="I44" s="179"/>
      <c r="J44" s="180"/>
      <c r="L44" s="181"/>
      <c r="M44" s="180"/>
      <c r="O44" s="179"/>
      <c r="P44" s="180"/>
      <c r="Q44" s="180"/>
      <c r="R44" s="214"/>
    </row>
    <row r="45" spans="1:20" x14ac:dyDescent="0.3">
      <c r="A45" s="178" t="s">
        <v>299</v>
      </c>
      <c r="E45" s="216">
        <f>E39/(E38+E39)</f>
        <v>0.78227062033730832</v>
      </c>
    </row>
    <row r="46" spans="1:20" x14ac:dyDescent="0.3">
      <c r="A46" s="178" t="s">
        <v>300</v>
      </c>
      <c r="E46" s="206">
        <f>E38/(E38+E39)</f>
        <v>0.21772937966269174</v>
      </c>
    </row>
    <row r="47" spans="1:20" x14ac:dyDescent="0.3">
      <c r="A47" s="210" t="s">
        <v>301</v>
      </c>
      <c r="B47" s="210"/>
      <c r="C47" s="210"/>
      <c r="D47" s="210"/>
      <c r="O47" s="207">
        <f>(O38-E38)/E38</f>
        <v>-1</v>
      </c>
    </row>
    <row r="48" spans="1:20" s="217" customFormat="1" x14ac:dyDescent="0.3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3">
      <c r="A49" s="178" t="s">
        <v>302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3">
      <c r="A50" s="178" t="s">
        <v>303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3">
      <c r="A51" s="178" t="s">
        <v>304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3">
      <c r="A52" s="178" t="s">
        <v>305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3">
      <c r="A53" s="178" t="s">
        <v>306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3">
      <c r="B54" s="218"/>
      <c r="C54" s="218"/>
      <c r="D54" s="218"/>
      <c r="E54" s="218"/>
      <c r="F54" s="218"/>
    </row>
    <row r="55" spans="1:17" x14ac:dyDescent="0.3">
      <c r="A55" s="178" t="s">
        <v>307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3">
      <c r="A56" s="178" t="s">
        <v>308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3">
      <c r="A57" s="178" t="s">
        <v>309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3">
      <c r="A58" s="178" t="s">
        <v>310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3">
      <c r="B59" s="218"/>
      <c r="C59" s="218"/>
      <c r="D59" s="218"/>
      <c r="E59" s="219"/>
      <c r="F59" s="218"/>
    </row>
    <row r="60" spans="1:17" x14ac:dyDescent="0.3">
      <c r="A60" s="178" t="s">
        <v>311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3">
      <c r="A61" s="178" t="s">
        <v>312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3">
      <c r="E62" s="220"/>
    </row>
    <row r="63" spans="1:17" ht="45.6" x14ac:dyDescent="0.5">
      <c r="A63" s="221" t="s">
        <v>313</v>
      </c>
      <c r="G63" s="178" t="s">
        <v>314</v>
      </c>
      <c r="J63" s="222" t="s">
        <v>315</v>
      </c>
      <c r="O63" s="223"/>
      <c r="P63" s="223" t="s">
        <v>316</v>
      </c>
    </row>
    <row r="64" spans="1:17" s="217" customFormat="1" x14ac:dyDescent="0.3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3">
      <c r="A65" s="178" t="s">
        <v>317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318</v>
      </c>
      <c r="T65" s="218"/>
      <c r="U65" s="218"/>
      <c r="V65" s="218"/>
      <c r="W65" s="218"/>
      <c r="X65" s="218"/>
      <c r="Y65" s="218"/>
    </row>
    <row r="66" spans="1:25" x14ac:dyDescent="0.3">
      <c r="A66" s="178" t="s">
        <v>319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3">
      <c r="A67" s="178" t="s">
        <v>320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3">
      <c r="A68" s="229" t="s">
        <v>321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322</v>
      </c>
    </row>
    <row r="69" spans="1:25" s="231" customFormat="1" x14ac:dyDescent="0.3">
      <c r="A69" s="231" t="s">
        <v>323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3">
      <c r="A70" s="236" t="s">
        <v>324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3">
      <c r="A71" s="241" t="s">
        <v>325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3">
      <c r="A72" s="241" t="s">
        <v>326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3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3">
      <c r="A75" s="180" t="s">
        <v>327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3">
      <c r="A76" s="180" t="s">
        <v>328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3">
      <c r="A78" s="178" t="s">
        <v>329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3">
      <c r="A79" s="178" t="s">
        <v>330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3">
      <c r="A80" s="178" t="s">
        <v>331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3">
      <c r="A81" s="178" t="s">
        <v>332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3">
      <c r="A82" s="178" t="s">
        <v>333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3">
      <c r="A84" s="180" t="s">
        <v>334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3">
      <c r="A85" s="180" t="s">
        <v>335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3">
      <c r="A86" s="180" t="s">
        <v>336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3">
      <c r="A88" s="178" t="s">
        <v>337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3">
      <c r="A89" s="178" t="s">
        <v>338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3">
      <c r="A90" s="178" t="s">
        <v>339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3">
      <c r="A92" s="236" t="s">
        <v>340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3">
      <c r="A93" s="236" t="s">
        <v>341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3">
      <c r="A94" s="236" t="s">
        <v>342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3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3">
      <c r="A97" s="180" t="s">
        <v>343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3">
      <c r="A98" s="180" t="s">
        <v>344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3">
      <c r="A100" s="178" t="s">
        <v>345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3">
      <c r="A101" s="178" t="s">
        <v>346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3">
      <c r="A102" s="178" t="s">
        <v>347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3">
      <c r="A103" s="178" t="s">
        <v>348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4">
      <c r="A106" s="248" t="s">
        <v>349</v>
      </c>
    </row>
    <row r="107" spans="1:19" s="217" customFormat="1" x14ac:dyDescent="0.3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3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350</v>
      </c>
    </row>
    <row r="109" spans="1:19" x14ac:dyDescent="0.3">
      <c r="A109" s="178" t="s">
        <v>351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352</v>
      </c>
    </row>
    <row r="110" spans="1:19" x14ac:dyDescent="0.3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3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3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3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3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3">
      <c r="A137" s="178">
        <f>A104</f>
        <v>0</v>
      </c>
    </row>
    <row r="138" spans="1:1" x14ac:dyDescent="0.3">
      <c r="A138" s="178">
        <f>A105</f>
        <v>0</v>
      </c>
    </row>
    <row r="139" spans="1:1" x14ac:dyDescent="0.3">
      <c r="A139" s="178" t="str">
        <f>A106</f>
        <v>Structural Economic Growth scenario</v>
      </c>
    </row>
    <row r="140" spans="1:1" x14ac:dyDescent="0.3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4140625" defaultRowHeight="14.4" x14ac:dyDescent="0.3"/>
  <cols>
    <col min="1" max="1" width="19.44140625" style="249"/>
    <col min="2" max="6" width="7.5546875" style="178" customWidth="1"/>
    <col min="7" max="8" width="19.44140625" style="178"/>
    <col min="9" max="9" width="8" style="178" customWidth="1"/>
    <col min="10" max="10" width="20.109375" style="178" customWidth="1"/>
    <col min="11" max="11" width="23.109375" style="178" customWidth="1"/>
    <col min="12" max="12" width="20.109375" style="178" customWidth="1"/>
    <col min="13" max="14" width="24.109375" style="178" customWidth="1"/>
    <col min="15" max="16384" width="19.44140625" style="178"/>
  </cols>
  <sheetData>
    <row r="1" spans="1:14" ht="28.8" x14ac:dyDescent="0.3">
      <c r="I1" s="200" t="s">
        <v>96</v>
      </c>
      <c r="J1" s="249" t="s">
        <v>306</v>
      </c>
      <c r="K1" s="249" t="s">
        <v>321</v>
      </c>
      <c r="L1" s="249" t="s">
        <v>323</v>
      </c>
      <c r="M1" s="249" t="s">
        <v>324</v>
      </c>
      <c r="N1" s="249" t="s">
        <v>325</v>
      </c>
    </row>
    <row r="2" spans="1:14" x14ac:dyDescent="0.3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28.8" x14ac:dyDescent="0.3">
      <c r="A3" s="249" t="s">
        <v>306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43.2" x14ac:dyDescent="0.3">
      <c r="A4" s="249" t="s">
        <v>321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28.8" x14ac:dyDescent="0.3">
      <c r="A5" s="249" t="s">
        <v>323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43.2" x14ac:dyDescent="0.3">
      <c r="A6" s="249" t="s">
        <v>324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43.2" x14ac:dyDescent="0.3">
      <c r="A7" s="249" t="s">
        <v>325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353</v>
      </c>
    </row>
    <row r="8" spans="1:14" x14ac:dyDescent="0.3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3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3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3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3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3">
      <c r="I13" s="178" t="s">
        <v>354</v>
      </c>
      <c r="J13" s="251">
        <f>AVERAGE(J9:J12)</f>
        <v>4.4806529214302393E-2</v>
      </c>
    </row>
    <row r="19" spans="9:12" x14ac:dyDescent="0.3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3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16" activePane="bottomRight" state="frozen"/>
      <selection activeCell="F86" sqref="F86"/>
      <selection pane="topRight" activeCell="F86" sqref="F86"/>
      <selection pane="bottomLeft" activeCell="F86" sqref="F86"/>
      <selection pane="bottomRight" activeCell="E53" sqref="E53"/>
    </sheetView>
  </sheetViews>
  <sheetFormatPr defaultRowHeight="13.2" x14ac:dyDescent="0.25"/>
  <cols>
    <col min="1" max="1" width="21.44140625" bestFit="1" customWidth="1"/>
    <col min="2" max="2" width="18.44140625" bestFit="1" customWidth="1"/>
    <col min="3" max="3" width="20.5546875" bestFit="1" customWidth="1"/>
    <col min="4" max="4" width="11" bestFit="1" customWidth="1"/>
    <col min="5" max="5" width="11" customWidth="1"/>
    <col min="6" max="6" width="25.5546875" bestFit="1" customWidth="1"/>
    <col min="7" max="7" width="16" bestFit="1" customWidth="1"/>
    <col min="8" max="8" width="24.109375" bestFit="1" customWidth="1"/>
    <col min="9" max="9" width="13.109375" bestFit="1" customWidth="1"/>
    <col min="10" max="10" width="13.5546875" bestFit="1" customWidth="1"/>
    <col min="11" max="11" width="21.44140625" bestFit="1" customWidth="1"/>
    <col min="12" max="14" width="20.88671875" bestFit="1" customWidth="1"/>
    <col min="15" max="15" width="11.88671875" bestFit="1" customWidth="1"/>
    <col min="16" max="16" width="9.5546875" bestFit="1" customWidth="1"/>
    <col min="24" max="24" width="13.5546875" bestFit="1" customWidth="1"/>
  </cols>
  <sheetData>
    <row r="1" spans="1:27" s="20" customFormat="1" x14ac:dyDescent="0.25">
      <c r="A1" s="20" t="s">
        <v>355</v>
      </c>
      <c r="B1" s="20" t="s">
        <v>21</v>
      </c>
      <c r="C1" s="285" t="s">
        <v>356</v>
      </c>
      <c r="D1" s="285"/>
      <c r="E1" s="285"/>
      <c r="F1" s="285"/>
      <c r="G1" s="285" t="s">
        <v>357</v>
      </c>
      <c r="H1" s="285"/>
      <c r="I1" s="285"/>
      <c r="J1" s="285"/>
      <c r="K1" s="285" t="s">
        <v>358</v>
      </c>
      <c r="L1" s="285"/>
      <c r="M1" s="285" t="s">
        <v>359</v>
      </c>
      <c r="N1" s="285"/>
      <c r="O1" s="285" t="s">
        <v>360</v>
      </c>
      <c r="P1" s="285"/>
      <c r="Q1" s="285"/>
      <c r="R1" s="285" t="s">
        <v>360</v>
      </c>
      <c r="S1" s="285"/>
      <c r="T1" s="285"/>
      <c r="U1" s="285" t="s">
        <v>360</v>
      </c>
      <c r="V1" s="285"/>
      <c r="W1" s="285"/>
      <c r="X1" s="20" t="s">
        <v>361</v>
      </c>
      <c r="Y1" s="285" t="s">
        <v>362</v>
      </c>
      <c r="Z1" s="285"/>
      <c r="AA1" s="285"/>
    </row>
    <row r="2" spans="1:27" s="20" customFormat="1" x14ac:dyDescent="0.25">
      <c r="A2" s="20" t="s">
        <v>363</v>
      </c>
      <c r="C2" s="20" t="s">
        <v>364</v>
      </c>
      <c r="D2" s="20" t="s">
        <v>365</v>
      </c>
      <c r="E2" s="20" t="s">
        <v>366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366</v>
      </c>
      <c r="J2" s="20" t="str">
        <f>F2</f>
        <v>Currency</v>
      </c>
      <c r="K2" s="20" t="s">
        <v>364</v>
      </c>
      <c r="L2" s="20" t="s">
        <v>365</v>
      </c>
      <c r="O2" s="285" t="s">
        <v>364</v>
      </c>
      <c r="P2" s="285"/>
      <c r="Q2" s="285"/>
      <c r="R2" s="285" t="s">
        <v>367</v>
      </c>
      <c r="S2" s="285"/>
      <c r="T2" s="285"/>
      <c r="U2" s="285" t="s">
        <v>366</v>
      </c>
      <c r="V2" s="285"/>
      <c r="W2" s="285"/>
      <c r="X2" s="20" t="s">
        <v>112</v>
      </c>
      <c r="Y2" s="285" t="s">
        <v>368</v>
      </c>
      <c r="Z2" s="285"/>
      <c r="AA2" s="285"/>
    </row>
    <row r="3" spans="1:27" s="20" customFormat="1" x14ac:dyDescent="0.25">
      <c r="A3" s="20" t="s">
        <v>363</v>
      </c>
      <c r="O3" s="252" t="s">
        <v>369</v>
      </c>
      <c r="P3" s="252" t="s">
        <v>370</v>
      </c>
      <c r="Q3" s="252" t="s">
        <v>371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369</v>
      </c>
      <c r="Z3" s="20" t="s">
        <v>370</v>
      </c>
      <c r="AA3" s="20" t="s">
        <v>372</v>
      </c>
    </row>
    <row r="4" spans="1:27" x14ac:dyDescent="0.25">
      <c r="A4" s="20" t="s">
        <v>363</v>
      </c>
      <c r="B4" t="s">
        <v>373</v>
      </c>
      <c r="C4">
        <v>1093</v>
      </c>
      <c r="D4">
        <v>691</v>
      </c>
      <c r="F4" t="s">
        <v>374</v>
      </c>
      <c r="G4">
        <v>7.3999999999999996E-2</v>
      </c>
      <c r="H4">
        <v>4.2999999999999997E-2</v>
      </c>
      <c r="J4" t="s">
        <v>374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5">
      <c r="A5" s="20" t="s">
        <v>363</v>
      </c>
      <c r="B5" t="s">
        <v>375</v>
      </c>
      <c r="C5">
        <v>2330</v>
      </c>
      <c r="D5">
        <v>2267</v>
      </c>
      <c r="E5">
        <v>824</v>
      </c>
      <c r="F5" t="s">
        <v>374</v>
      </c>
      <c r="G5">
        <v>6.2E-2</v>
      </c>
      <c r="H5">
        <v>5.7000000000000002E-2</v>
      </c>
      <c r="I5">
        <v>0.06</v>
      </c>
      <c r="J5" t="s">
        <v>374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5">
      <c r="A6" s="20" t="s">
        <v>363</v>
      </c>
      <c r="B6" t="s">
        <v>140</v>
      </c>
      <c r="C6">
        <v>1333</v>
      </c>
      <c r="D6">
        <v>1041</v>
      </c>
      <c r="E6">
        <v>1834</v>
      </c>
      <c r="F6" t="s">
        <v>374</v>
      </c>
      <c r="G6">
        <v>5.0999999999999997E-2</v>
      </c>
      <c r="H6">
        <v>3.4000000000000002E-2</v>
      </c>
      <c r="I6">
        <v>5.0999999999999997E-2</v>
      </c>
      <c r="J6" t="s">
        <v>374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6" x14ac:dyDescent="0.3">
      <c r="A7" s="20" t="s">
        <v>363</v>
      </c>
      <c r="B7" s="254" t="s">
        <v>376</v>
      </c>
      <c r="H7" s="254">
        <v>2.1000000000000001E-2</v>
      </c>
      <c r="I7" s="254"/>
      <c r="J7" t="s">
        <v>374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6" x14ac:dyDescent="0.3">
      <c r="A8" s="20" t="s">
        <v>363</v>
      </c>
      <c r="B8" s="254" t="s">
        <v>377</v>
      </c>
      <c r="H8" s="254">
        <v>7.9000000000000001E-2</v>
      </c>
      <c r="I8" s="254"/>
      <c r="J8" t="s">
        <v>374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6" x14ac:dyDescent="0.3">
      <c r="A9" s="20" t="s">
        <v>363</v>
      </c>
      <c r="B9" s="159" t="s">
        <v>172</v>
      </c>
      <c r="H9" s="254">
        <v>0.11899999999999999</v>
      </c>
      <c r="I9" s="254"/>
      <c r="J9" t="s">
        <v>374</v>
      </c>
    </row>
    <row r="10" spans="1:27" x14ac:dyDescent="0.25">
      <c r="A10" s="20" t="s">
        <v>363</v>
      </c>
      <c r="B10" s="159" t="s">
        <v>378</v>
      </c>
      <c r="I10">
        <v>0.1</v>
      </c>
    </row>
    <row r="11" spans="1:27" x14ac:dyDescent="0.25">
      <c r="A11" s="20" t="s">
        <v>363</v>
      </c>
      <c r="B11" s="159" t="s">
        <v>379</v>
      </c>
      <c r="I11">
        <v>0.33</v>
      </c>
    </row>
    <row r="12" spans="1:27" ht="15.6" x14ac:dyDescent="0.3">
      <c r="A12" s="20" t="s">
        <v>363</v>
      </c>
      <c r="B12" s="159" t="s">
        <v>380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6" x14ac:dyDescent="0.3">
      <c r="A13" s="20" t="s">
        <v>363</v>
      </c>
      <c r="B13" s="159" t="s">
        <v>381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5">
      <c r="A14" s="20" t="s">
        <v>363</v>
      </c>
      <c r="B14" s="159" t="s">
        <v>382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383</v>
      </c>
      <c r="H17" t="s">
        <v>384</v>
      </c>
      <c r="I17" t="s">
        <v>385</v>
      </c>
      <c r="J17" t="s">
        <v>386</v>
      </c>
      <c r="K17" t="s">
        <v>387</v>
      </c>
      <c r="L17" t="s">
        <v>110</v>
      </c>
      <c r="M17" t="s">
        <v>388</v>
      </c>
      <c r="N17" t="s">
        <v>389</v>
      </c>
      <c r="O17" t="s">
        <v>390</v>
      </c>
    </row>
    <row r="18" spans="1:16" x14ac:dyDescent="0.25">
      <c r="C18" s="255"/>
      <c r="D18" s="255"/>
      <c r="E18" s="255" t="s">
        <v>391</v>
      </c>
      <c r="F18" s="255"/>
      <c r="G18" t="s">
        <v>391</v>
      </c>
      <c r="H18" t="s">
        <v>391</v>
      </c>
      <c r="I18" s="255" t="s">
        <v>392</v>
      </c>
      <c r="J18" s="255" t="s">
        <v>392</v>
      </c>
      <c r="K18" s="255" t="s">
        <v>392</v>
      </c>
      <c r="L18" s="255"/>
      <c r="M18" s="255" t="s">
        <v>112</v>
      </c>
      <c r="N18" s="255" t="s">
        <v>393</v>
      </c>
      <c r="O18" s="255" t="s">
        <v>393</v>
      </c>
      <c r="P18" s="255"/>
    </row>
    <row r="19" spans="1:16" x14ac:dyDescent="0.25">
      <c r="A19" t="s">
        <v>394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366</v>
      </c>
      <c r="I19" t="str">
        <f>I2</f>
        <v>Ethiopia</v>
      </c>
      <c r="J19" t="s">
        <v>366</v>
      </c>
      <c r="K19" t="s">
        <v>366</v>
      </c>
      <c r="L19" t="s">
        <v>366</v>
      </c>
      <c r="M19" t="s">
        <v>354</v>
      </c>
      <c r="P19">
        <f>P2</f>
        <v>0</v>
      </c>
    </row>
    <row r="20" spans="1:16" x14ac:dyDescent="0.25">
      <c r="A20" t="s">
        <v>395</v>
      </c>
      <c r="B20" t="s">
        <v>396</v>
      </c>
      <c r="E20">
        <v>2770</v>
      </c>
      <c r="F20" t="s">
        <v>391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397</v>
      </c>
      <c r="B21" t="s">
        <v>375</v>
      </c>
      <c r="E21">
        <v>2000</v>
      </c>
      <c r="F21" t="s">
        <v>391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398</v>
      </c>
      <c r="B22" t="s">
        <v>399</v>
      </c>
      <c r="E22">
        <v>2900</v>
      </c>
      <c r="F22" t="s">
        <v>391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400</v>
      </c>
      <c r="B23" t="s">
        <v>401</v>
      </c>
      <c r="E23">
        <v>1100</v>
      </c>
      <c r="F23" t="s">
        <v>391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402</v>
      </c>
      <c r="B24" t="s">
        <v>403</v>
      </c>
      <c r="E24">
        <v>1700</v>
      </c>
      <c r="F24" t="s">
        <v>391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404</v>
      </c>
      <c r="B25" t="s">
        <v>122</v>
      </c>
      <c r="E25">
        <v>3333</v>
      </c>
      <c r="F25" t="s">
        <v>391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405</v>
      </c>
      <c r="B26" t="s">
        <v>406</v>
      </c>
      <c r="E26">
        <v>5238</v>
      </c>
      <c r="F26" t="s">
        <v>391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407</v>
      </c>
      <c r="B31" t="s">
        <v>407</v>
      </c>
      <c r="C31" t="s">
        <v>408</v>
      </c>
    </row>
    <row r="32" spans="1:16" x14ac:dyDescent="0.25">
      <c r="C32" t="s">
        <v>409</v>
      </c>
    </row>
    <row r="33" spans="1:6" x14ac:dyDescent="0.25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5">
      <c r="A34" t="s">
        <v>394</v>
      </c>
      <c r="B34" t="s">
        <v>410</v>
      </c>
      <c r="C34">
        <f>7.66/0.0002777778</f>
        <v>27575.997793920178</v>
      </c>
    </row>
    <row r="35" spans="1:6" x14ac:dyDescent="0.25">
      <c r="A35" t="s">
        <v>394</v>
      </c>
      <c r="B35" t="s">
        <v>411</v>
      </c>
      <c r="C35">
        <f>18.8/0.0002777778</f>
        <v>67679.994585600434</v>
      </c>
    </row>
    <row r="36" spans="1:6" x14ac:dyDescent="0.25">
      <c r="A36" t="s">
        <v>412</v>
      </c>
      <c r="B36" t="s">
        <v>413</v>
      </c>
      <c r="C36">
        <f>8.121/0.0002777778</f>
        <v>29235.597661152191</v>
      </c>
    </row>
    <row r="37" spans="1:6" x14ac:dyDescent="0.25">
      <c r="A37" t="s">
        <v>414</v>
      </c>
      <c r="B37" t="s">
        <v>415</v>
      </c>
      <c r="C37">
        <f>1.263/0.0002777778</f>
        <v>4546.7996362560289</v>
      </c>
    </row>
    <row r="38" spans="1:6" x14ac:dyDescent="0.25">
      <c r="A38" t="s">
        <v>416</v>
      </c>
      <c r="B38" t="s">
        <v>297</v>
      </c>
      <c r="C38">
        <f>5.835/0.0002777778</f>
        <v>21005.998319520135</v>
      </c>
    </row>
    <row r="42" spans="1:6" x14ac:dyDescent="0.25">
      <c r="A42" s="159" t="s">
        <v>417</v>
      </c>
      <c r="B42" s="159" t="s">
        <v>418</v>
      </c>
      <c r="C42" s="284" t="s">
        <v>418</v>
      </c>
      <c r="D42" s="284"/>
      <c r="E42" s="284"/>
    </row>
    <row r="43" spans="1:6" x14ac:dyDescent="0.25">
      <c r="A43" s="159"/>
      <c r="B43" s="159" t="s">
        <v>369</v>
      </c>
      <c r="C43" s="159" t="s">
        <v>369</v>
      </c>
      <c r="D43" s="159" t="s">
        <v>370</v>
      </c>
      <c r="E43" s="159" t="s">
        <v>354</v>
      </c>
      <c r="F43" s="159" t="s">
        <v>419</v>
      </c>
    </row>
    <row r="44" spans="1:6" x14ac:dyDescent="0.25">
      <c r="A44" s="159" t="s">
        <v>420</v>
      </c>
      <c r="B44" s="159" t="s">
        <v>421</v>
      </c>
      <c r="E44">
        <v>0.35</v>
      </c>
    </row>
    <row r="45" spans="1:6" s="160" customFormat="1" x14ac:dyDescent="0.25">
      <c r="A45" s="160" t="s">
        <v>422</v>
      </c>
      <c r="B45" s="160" t="s">
        <v>423</v>
      </c>
      <c r="C45" s="160">
        <v>0.8</v>
      </c>
      <c r="D45" s="160">
        <v>0.9</v>
      </c>
      <c r="E45" s="160">
        <v>0.84</v>
      </c>
    </row>
    <row r="46" spans="1:6" s="160" customFormat="1" x14ac:dyDescent="0.25">
      <c r="A46" s="160" t="s">
        <v>422</v>
      </c>
      <c r="B46" s="160" t="s">
        <v>424</v>
      </c>
      <c r="C46" s="160">
        <v>0.95</v>
      </c>
      <c r="D46" s="160">
        <v>1</v>
      </c>
      <c r="E46" s="160">
        <v>0.96</v>
      </c>
    </row>
    <row r="47" spans="1:6" x14ac:dyDescent="0.25">
      <c r="A47" t="s">
        <v>425</v>
      </c>
      <c r="B47" s="159" t="s">
        <v>426</v>
      </c>
      <c r="C47">
        <v>0.8</v>
      </c>
      <c r="D47">
        <v>0.85</v>
      </c>
      <c r="F47">
        <v>0.59299999999999997</v>
      </c>
    </row>
    <row r="48" spans="1:6" x14ac:dyDescent="0.25">
      <c r="A48" t="s">
        <v>427</v>
      </c>
      <c r="B48" s="159" t="s">
        <v>426</v>
      </c>
      <c r="C48">
        <v>0.8</v>
      </c>
      <c r="D48">
        <v>0.81</v>
      </c>
    </row>
    <row r="49" spans="1:6" x14ac:dyDescent="0.25">
      <c r="A49" s="256" t="s">
        <v>428</v>
      </c>
      <c r="B49" s="159" t="s">
        <v>429</v>
      </c>
      <c r="C49">
        <v>0.85</v>
      </c>
      <c r="D49">
        <v>0.87</v>
      </c>
      <c r="F49">
        <v>0.79200000000000004</v>
      </c>
    </row>
    <row r="50" spans="1:6" x14ac:dyDescent="0.25">
      <c r="A50" s="256" t="s">
        <v>428</v>
      </c>
      <c r="B50" s="159" t="s">
        <v>430</v>
      </c>
      <c r="C50">
        <v>0.85</v>
      </c>
      <c r="D50">
        <v>0.87</v>
      </c>
      <c r="F50">
        <v>0.80900000000000005</v>
      </c>
    </row>
    <row r="51" spans="1:6" x14ac:dyDescent="0.25">
      <c r="A51" s="256" t="s">
        <v>431</v>
      </c>
      <c r="B51" s="159" t="s">
        <v>432</v>
      </c>
      <c r="E51">
        <v>0.85</v>
      </c>
      <c r="F51">
        <v>0.76100000000000001</v>
      </c>
    </row>
    <row r="52" spans="1:6" x14ac:dyDescent="0.25">
      <c r="A52" t="s">
        <v>433</v>
      </c>
      <c r="B52" s="159" t="s">
        <v>434</v>
      </c>
      <c r="E52">
        <v>0.51039999999999996</v>
      </c>
    </row>
    <row r="53" spans="1:6" x14ac:dyDescent="0.25">
      <c r="A53" s="256" t="s">
        <v>435</v>
      </c>
      <c r="B53" s="159" t="s">
        <v>436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6" x14ac:dyDescent="0.3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258</v>
      </c>
    </row>
    <row r="3" spans="2:18" x14ac:dyDescent="0.25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5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5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5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5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4" x14ac:dyDescent="0.3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4" x14ac:dyDescent="0.3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160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5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5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5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5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5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10:11" x14ac:dyDescent="0.25">
      <c r="J49" s="117"/>
      <c r="K49" s="120"/>
    </row>
    <row r="50" spans="10:11" x14ac:dyDescent="0.25">
      <c r="J50" s="117"/>
      <c r="K50" s="120"/>
    </row>
    <row r="51" spans="10:11" x14ac:dyDescent="0.25">
      <c r="J51" s="117"/>
      <c r="K51" s="120"/>
    </row>
    <row r="52" spans="10:11" x14ac:dyDescent="0.25">
      <c r="J52" s="117"/>
      <c r="K52" s="120"/>
    </row>
    <row r="53" spans="10:11" x14ac:dyDescent="0.25">
      <c r="J53" s="117"/>
      <c r="K53" s="120"/>
    </row>
    <row r="54" spans="10:11" x14ac:dyDescent="0.25">
      <c r="J54" s="117"/>
      <c r="K54" s="120"/>
    </row>
    <row r="55" spans="10:11" x14ac:dyDescent="0.25">
      <c r="J55" s="117"/>
      <c r="K55" s="120"/>
    </row>
    <row r="56" spans="10:11" x14ac:dyDescent="0.25">
      <c r="J56" s="117"/>
      <c r="K56" s="120"/>
    </row>
    <row r="57" spans="10:11" x14ac:dyDescent="0.25">
      <c r="J57" s="117"/>
      <c r="K57" s="120"/>
    </row>
    <row r="58" spans="10:11" x14ac:dyDescent="0.25">
      <c r="J58" s="117"/>
      <c r="K58" s="120"/>
    </row>
    <row r="59" spans="10:11" x14ac:dyDescent="0.25">
      <c r="J59" s="117"/>
      <c r="K59" s="120"/>
    </row>
    <row r="60" spans="10:11" x14ac:dyDescent="0.25">
      <c r="J60" s="117"/>
      <c r="K60" s="120"/>
    </row>
    <row r="61" spans="10:11" x14ac:dyDescent="0.25">
      <c r="J61" s="117"/>
      <c r="K61" s="120"/>
    </row>
    <row r="62" spans="10:11" x14ac:dyDescent="0.25">
      <c r="J62" s="117"/>
      <c r="K62" s="120"/>
    </row>
    <row r="63" spans="10:11" x14ac:dyDescent="0.25">
      <c r="J63" s="117"/>
      <c r="K63" s="120"/>
    </row>
    <row r="65" spans="2:5" x14ac:dyDescent="0.25">
      <c r="C65" s="82" t="s">
        <v>145</v>
      </c>
      <c r="D65" s="83" t="s">
        <v>146</v>
      </c>
      <c r="E65" s="84" t="s">
        <v>147</v>
      </c>
    </row>
    <row r="66" spans="2:5" x14ac:dyDescent="0.25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5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0" zoomScale="122" zoomScaleNormal="122" workbookViewId="0">
      <selection activeCell="G41" sqref="G41"/>
    </sheetView>
  </sheetViews>
  <sheetFormatPr defaultRowHeight="13.2" x14ac:dyDescent="0.25"/>
  <cols>
    <col min="1" max="1" width="3" bestFit="1" customWidth="1"/>
    <col min="2" max="2" width="19.3320312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6" bestFit="1" customWidth="1"/>
    <col min="12" max="12" width="12.109375" bestFit="1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6" x14ac:dyDescent="0.3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163</v>
      </c>
      <c r="R2" s="7" t="s">
        <v>258</v>
      </c>
    </row>
    <row r="3" spans="2:18" x14ac:dyDescent="0.25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4.4" x14ac:dyDescent="0.3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4.4" x14ac:dyDescent="0.3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4.4" x14ac:dyDescent="0.3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4.4" x14ac:dyDescent="0.3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5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4.4" x14ac:dyDescent="0.3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5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5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4.4" x14ac:dyDescent="0.3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5"/>
      <c r="H26" s="5"/>
      <c r="I26" s="5"/>
      <c r="J26" s="5"/>
      <c r="K26" s="5"/>
    </row>
    <row r="27" spans="2:13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3" ht="14.4" x14ac:dyDescent="0.3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160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5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5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5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5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5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2:12" x14ac:dyDescent="0.25">
      <c r="J49" s="117"/>
      <c r="K49" s="120"/>
    </row>
    <row r="50" spans="2:12" x14ac:dyDescent="0.25">
      <c r="J50" s="117"/>
      <c r="K50" s="120" t="s">
        <v>446</v>
      </c>
      <c r="L50" t="s">
        <v>447</v>
      </c>
    </row>
    <row r="51" spans="2:12" x14ac:dyDescent="0.25">
      <c r="C51" t="s">
        <v>437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445</v>
      </c>
      <c r="J51" s="117" t="s">
        <v>444</v>
      </c>
      <c r="K51" s="120" t="s">
        <v>314</v>
      </c>
    </row>
    <row r="52" spans="2:12" x14ac:dyDescent="0.25">
      <c r="C52" t="s">
        <v>438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5">
      <c r="C53" t="s">
        <v>439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4.4" x14ac:dyDescent="0.3">
      <c r="C54" s="261" t="s">
        <v>440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4.4" x14ac:dyDescent="0.3">
      <c r="C55" s="258" t="s">
        <v>443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5">
      <c r="C56" t="s">
        <v>298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5">
      <c r="C57" t="s">
        <v>448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5">
      <c r="C58" t="s">
        <v>442</v>
      </c>
      <c r="I58" s="257"/>
      <c r="J58" s="257"/>
      <c r="K58" s="267"/>
      <c r="L58" s="117"/>
    </row>
    <row r="59" spans="2:12" x14ac:dyDescent="0.25">
      <c r="C59" t="s">
        <v>441</v>
      </c>
      <c r="I59" s="257"/>
      <c r="J59" s="257"/>
      <c r="K59" s="267"/>
      <c r="L59" s="117"/>
    </row>
    <row r="60" spans="2:12" x14ac:dyDescent="0.25">
      <c r="C60" t="s">
        <v>449</v>
      </c>
      <c r="I60" s="257"/>
      <c r="J60" s="257"/>
      <c r="K60" s="267"/>
      <c r="L60" s="117"/>
    </row>
    <row r="61" spans="2:12" x14ac:dyDescent="0.25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5">
      <c r="B62">
        <v>0.55000000000000004</v>
      </c>
      <c r="C62" t="s">
        <v>450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5">
      <c r="B63">
        <v>1</v>
      </c>
      <c r="C63" t="s">
        <v>443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5">
      <c r="I64" s="257"/>
      <c r="J64" s="257"/>
      <c r="K64" s="117"/>
      <c r="L64" s="117"/>
    </row>
    <row r="65" spans="2:11" x14ac:dyDescent="0.25">
      <c r="J65" s="117"/>
      <c r="K65" s="120"/>
    </row>
    <row r="66" spans="2:11" x14ac:dyDescent="0.25">
      <c r="J66" s="117"/>
      <c r="K66" s="120"/>
    </row>
    <row r="67" spans="2:11" x14ac:dyDescent="0.25">
      <c r="J67" s="117"/>
      <c r="K67" s="120"/>
    </row>
    <row r="68" spans="2:11" x14ac:dyDescent="0.25">
      <c r="J68" s="117"/>
      <c r="K68" s="120"/>
    </row>
    <row r="69" spans="2:11" x14ac:dyDescent="0.25">
      <c r="J69" s="117"/>
      <c r="K69" s="120"/>
    </row>
    <row r="71" spans="2:11" x14ac:dyDescent="0.25">
      <c r="C71" s="82" t="s">
        <v>145</v>
      </c>
      <c r="D71" s="83" t="s">
        <v>146</v>
      </c>
      <c r="E71" s="84" t="s">
        <v>147</v>
      </c>
    </row>
    <row r="72" spans="2:11" x14ac:dyDescent="0.25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5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3.2" x14ac:dyDescent="0.25"/>
  <cols>
    <col min="1" max="1" width="1.88671875" customWidth="1"/>
    <col min="2" max="2" width="7.6640625" customWidth="1"/>
    <col min="3" max="3" width="6.88671875" customWidth="1"/>
    <col min="12" max="12" width="6.6640625" customWidth="1"/>
    <col min="14" max="14" width="5.44140625" customWidth="1"/>
  </cols>
  <sheetData>
    <row r="2" spans="2:16" ht="17.399999999999999" x14ac:dyDescent="0.3">
      <c r="B2" s="50" t="s">
        <v>101</v>
      </c>
      <c r="K2" s="50" t="s">
        <v>120</v>
      </c>
    </row>
    <row r="3" spans="2:16" ht="17.399999999999999" x14ac:dyDescent="0.3">
      <c r="K3" s="50" t="s">
        <v>121</v>
      </c>
    </row>
    <row r="4" spans="2:16" x14ac:dyDescent="0.25">
      <c r="B4" s="20" t="s">
        <v>118</v>
      </c>
    </row>
    <row r="14" spans="2:16" ht="17.399999999999999" x14ac:dyDescent="0.3">
      <c r="B14" s="50" t="s">
        <v>100</v>
      </c>
    </row>
    <row r="16" spans="2:16" x14ac:dyDescent="0.25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11" zoomScale="96" zoomScaleNormal="96" workbookViewId="0">
      <selection activeCell="G26" sqref="G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1" width="13.6640625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163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6" x14ac:dyDescent="0.3">
      <c r="C3" t="s">
        <v>45</v>
      </c>
      <c r="D3" t="s">
        <v>158</v>
      </c>
      <c r="E3" s="7" t="s">
        <v>163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.2" thickBot="1" x14ac:dyDescent="0.35">
      <c r="C4" s="159" t="s">
        <v>248</v>
      </c>
      <c r="D4" s="1" t="s">
        <v>246</v>
      </c>
      <c r="E4" s="81" t="s">
        <v>163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6" x14ac:dyDescent="0.3">
      <c r="C5" s="160"/>
      <c r="D5" s="160"/>
      <c r="E5" s="81"/>
      <c r="F5" s="160"/>
      <c r="G5" s="7"/>
      <c r="M5" s="66" t="s">
        <v>74</v>
      </c>
      <c r="N5" s="70"/>
      <c r="O5" s="158" t="s">
        <v>255</v>
      </c>
      <c r="P5" s="66" t="s">
        <v>169</v>
      </c>
      <c r="Q5" s="66" t="s">
        <v>163</v>
      </c>
      <c r="R5" s="66"/>
      <c r="S5" s="66"/>
      <c r="T5" s="66"/>
      <c r="U5" s="66"/>
    </row>
    <row r="6" spans="2:21" ht="15.6" x14ac:dyDescent="0.3">
      <c r="C6" s="160"/>
      <c r="D6" s="160"/>
      <c r="E6" s="81"/>
      <c r="F6" s="160"/>
      <c r="G6" s="7"/>
      <c r="M6" s="66" t="s">
        <v>74</v>
      </c>
      <c r="N6" s="70"/>
      <c r="O6" s="158" t="s">
        <v>256</v>
      </c>
      <c r="P6" s="66" t="s">
        <v>170</v>
      </c>
      <c r="Q6" s="66" t="s">
        <v>163</v>
      </c>
      <c r="R6" s="66"/>
      <c r="S6" s="66"/>
      <c r="T6" s="66"/>
      <c r="U6" s="66"/>
    </row>
    <row r="7" spans="2:21" ht="15.6" x14ac:dyDescent="0.3">
      <c r="C7" s="160"/>
      <c r="D7" s="160"/>
      <c r="E7" s="81"/>
      <c r="F7" s="160"/>
      <c r="G7" s="7"/>
      <c r="M7" s="66" t="s">
        <v>74</v>
      </c>
      <c r="N7" s="70"/>
      <c r="O7" s="158" t="s">
        <v>257</v>
      </c>
      <c r="P7" s="66" t="s">
        <v>171</v>
      </c>
      <c r="Q7" s="66" t="s">
        <v>163</v>
      </c>
      <c r="R7" s="66"/>
      <c r="S7" s="66"/>
      <c r="T7" s="66"/>
      <c r="U7" s="66"/>
    </row>
    <row r="8" spans="2:21" ht="15.6" x14ac:dyDescent="0.3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259</v>
      </c>
      <c r="Q8" s="66" t="s">
        <v>163</v>
      </c>
      <c r="R8" s="66"/>
      <c r="S8" s="66"/>
      <c r="T8" s="66"/>
      <c r="U8" s="66"/>
    </row>
    <row r="9" spans="2:21" ht="15.6" x14ac:dyDescent="0.3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5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5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5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5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5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5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5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5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164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165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237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O5</f>
        <v>MANCOALMIN</v>
      </c>
      <c r="E23" s="1">
        <v>2022</v>
      </c>
      <c r="F23" s="159" t="s">
        <v>451</v>
      </c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163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9" t="s">
        <v>451</v>
      </c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163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9" t="s">
        <v>451</v>
      </c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163</v>
      </c>
    </row>
    <row r="26" spans="2:21" x14ac:dyDescent="0.25">
      <c r="B26" s="66" t="str">
        <f>O26</f>
        <v>ELCGRID</v>
      </c>
      <c r="C26" s="70"/>
      <c r="D26" s="158" t="str">
        <f>O$8</f>
        <v>ELC</v>
      </c>
      <c r="E26" s="1">
        <v>2022</v>
      </c>
      <c r="F26" s="159" t="s">
        <v>451</v>
      </c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249</v>
      </c>
      <c r="Q26" t="s">
        <v>163</v>
      </c>
    </row>
    <row r="27" spans="2:21" x14ac:dyDescent="0.25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5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5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5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5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5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5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5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5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5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5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5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5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4" zoomScale="118" zoomScaleNormal="118" workbookViewId="0">
      <selection activeCell="K19" sqref="K19"/>
    </sheetView>
  </sheetViews>
  <sheetFormatPr defaultColWidth="8.88671875" defaultRowHeight="13.2" x14ac:dyDescent="0.25"/>
  <cols>
    <col min="1" max="1" width="3" style="93" customWidth="1"/>
    <col min="2" max="2" width="12.109375" style="93" bestFit="1" customWidth="1"/>
    <col min="3" max="3" width="25.33203125" style="93" bestFit="1" customWidth="1"/>
    <col min="4" max="4" width="13.88671875" style="93" bestFit="1" customWidth="1"/>
    <col min="5" max="5" width="20" style="93" bestFit="1" customWidth="1"/>
    <col min="6" max="6" width="13.109375" style="93" bestFit="1" customWidth="1"/>
    <col min="7" max="7" width="9.5546875" style="93" bestFit="1" customWidth="1"/>
    <col min="8" max="8" width="7.88671875" style="93" bestFit="1" customWidth="1"/>
    <col min="9" max="9" width="8.109375" style="93" customWidth="1"/>
    <col min="10" max="10" width="9.5546875" style="93" bestFit="1" customWidth="1"/>
    <col min="11" max="13" width="8.109375" style="93" customWidth="1"/>
    <col min="14" max="14" width="12.6640625" style="93" bestFit="1" customWidth="1"/>
    <col min="15" max="15" width="7.109375" style="93" customWidth="1"/>
    <col min="16" max="16" width="11.44140625" style="93" bestFit="1" customWidth="1"/>
    <col min="17" max="17" width="63.88671875" style="93" bestFit="1" customWidth="1"/>
    <col min="18" max="18" width="8.33203125" style="93" bestFit="1" customWidth="1"/>
    <col min="19" max="19" width="11.6640625" style="93" customWidth="1"/>
    <col min="20" max="20" width="13.44140625" style="93" customWidth="1"/>
    <col min="21" max="21" width="13.88671875" style="93" customWidth="1"/>
    <col min="22" max="22" width="8.44140625" style="93" customWidth="1"/>
    <col min="23" max="16384" width="8.88671875" style="93"/>
  </cols>
  <sheetData>
    <row r="1" spans="2:22" ht="14.4" x14ac:dyDescent="0.3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2" x14ac:dyDescent="0.3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5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2.2" thickBot="1" x14ac:dyDescent="0.35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6" x14ac:dyDescent="0.3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173</v>
      </c>
      <c r="Q5" s="95" t="s">
        <v>174</v>
      </c>
      <c r="R5" s="95" t="s">
        <v>163</v>
      </c>
      <c r="S5" s="95"/>
      <c r="T5" s="95"/>
      <c r="U5" s="95"/>
      <c r="V5" s="95"/>
    </row>
    <row r="6" spans="2:22" ht="15.6" x14ac:dyDescent="0.3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168</v>
      </c>
      <c r="Q6" s="95" t="s">
        <v>250</v>
      </c>
      <c r="R6" s="95" t="s">
        <v>163</v>
      </c>
      <c r="S6" s="95"/>
      <c r="T6" s="95"/>
      <c r="U6" s="95"/>
      <c r="V6" s="95"/>
    </row>
    <row r="7" spans="2:22" x14ac:dyDescent="0.25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5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5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5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5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5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152</v>
      </c>
      <c r="G13" s="100" t="s">
        <v>106</v>
      </c>
      <c r="H13" s="100" t="s">
        <v>107</v>
      </c>
      <c r="I13" s="100" t="s">
        <v>108</v>
      </c>
      <c r="J13" s="100" t="s">
        <v>175</v>
      </c>
      <c r="K13" s="102" t="s">
        <v>176</v>
      </c>
      <c r="L13" s="102"/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1.6" thickBot="1" x14ac:dyDescent="0.3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153</v>
      </c>
      <c r="G14" s="103" t="s">
        <v>110</v>
      </c>
      <c r="H14" s="104" t="s">
        <v>111</v>
      </c>
      <c r="I14" s="103" t="s">
        <v>119</v>
      </c>
      <c r="J14" s="103" t="s">
        <v>177</v>
      </c>
      <c r="K14" s="104" t="s">
        <v>178</v>
      </c>
      <c r="L14" s="105"/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8" thickBot="1" x14ac:dyDescent="0.3">
      <c r="B15" s="106" t="s">
        <v>87</v>
      </c>
      <c r="C15" s="106"/>
      <c r="D15" s="106"/>
      <c r="E15" s="107" t="s">
        <v>241</v>
      </c>
      <c r="F15" s="107"/>
      <c r="G15" s="107" t="s">
        <v>392</v>
      </c>
      <c r="H15" s="108" t="s">
        <v>392</v>
      </c>
      <c r="I15" s="107" t="s">
        <v>112</v>
      </c>
      <c r="J15" s="107"/>
      <c r="K15" s="108"/>
      <c r="L15" s="109"/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5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0.44</v>
      </c>
      <c r="G16" s="111">
        <v>0.55000000000000004</v>
      </c>
      <c r="H16" s="111">
        <v>1</v>
      </c>
      <c r="I16" s="136">
        <v>30</v>
      </c>
      <c r="J16" s="112"/>
      <c r="K16" s="112"/>
      <c r="L16" s="112"/>
      <c r="M16" s="112"/>
      <c r="N16" s="93" t="s">
        <v>113</v>
      </c>
      <c r="P16" s="93" t="s">
        <v>154</v>
      </c>
      <c r="Q16" s="93" t="s">
        <v>242</v>
      </c>
      <c r="R16" s="95" t="str">
        <f>$E$2</f>
        <v>GWh</v>
      </c>
      <c r="S16" s="95" t="s">
        <v>155</v>
      </c>
      <c r="T16" s="95"/>
      <c r="U16" s="95"/>
      <c r="V16" s="95"/>
    </row>
    <row r="17" spans="2:22" x14ac:dyDescent="0.25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0.31</v>
      </c>
      <c r="G17" s="111">
        <v>0.55000000000000004</v>
      </c>
      <c r="H17" s="111">
        <v>1</v>
      </c>
      <c r="I17" s="136">
        <v>30</v>
      </c>
      <c r="J17" s="112"/>
      <c r="K17" s="112"/>
      <c r="L17" s="112"/>
      <c r="M17" s="112"/>
      <c r="N17" s="93" t="s">
        <v>113</v>
      </c>
      <c r="P17" s="93" t="s">
        <v>156</v>
      </c>
      <c r="Q17" s="93" t="s">
        <v>157</v>
      </c>
      <c r="R17" s="95" t="str">
        <f>$E$2</f>
        <v>GWh</v>
      </c>
      <c r="S17" s="95" t="s">
        <v>155</v>
      </c>
      <c r="T17" s="95"/>
      <c r="U17" s="95"/>
      <c r="V17" s="95"/>
    </row>
    <row r="18" spans="2:22" x14ac:dyDescent="0.25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>
        <v>0.25</v>
      </c>
      <c r="G18" s="111">
        <v>0.8</v>
      </c>
      <c r="H18" s="113">
        <v>1</v>
      </c>
      <c r="I18" s="112">
        <v>30</v>
      </c>
      <c r="J18" s="112"/>
      <c r="K18" s="112"/>
      <c r="L18" s="112"/>
      <c r="N18" s="93" t="s">
        <v>113</v>
      </c>
      <c r="P18" s="167" t="s">
        <v>168</v>
      </c>
      <c r="Q18" s="93" t="s">
        <v>247</v>
      </c>
      <c r="R18" s="93" t="s">
        <v>163</v>
      </c>
      <c r="S18" s="93" t="s">
        <v>155</v>
      </c>
      <c r="T18" s="175" t="s">
        <v>254</v>
      </c>
    </row>
    <row r="19" spans="2:22" s="163" customFormat="1" x14ac:dyDescent="0.25">
      <c r="B19" s="99" t="s">
        <v>168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/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5">
      <c r="B20" s="99"/>
      <c r="C20" s="99"/>
      <c r="D20" s="95"/>
      <c r="E20" s="165"/>
      <c r="F20" s="166"/>
      <c r="R20" s="99"/>
      <c r="S20" s="99"/>
    </row>
    <row r="21" spans="2:22" s="163" customFormat="1" x14ac:dyDescent="0.25">
      <c r="B21" s="99"/>
      <c r="C21" s="99"/>
      <c r="D21" s="95"/>
      <c r="E21" s="165"/>
      <c r="F21" s="166"/>
    </row>
    <row r="22" spans="2:22" s="163" customFormat="1" x14ac:dyDescent="0.25">
      <c r="B22" s="99"/>
      <c r="C22" s="99"/>
      <c r="D22" s="95"/>
      <c r="E22" s="165"/>
      <c r="F22" s="166"/>
    </row>
    <row r="23" spans="2:22" s="163" customFormat="1" x14ac:dyDescent="0.25">
      <c r="B23" s="99"/>
      <c r="C23" s="164"/>
      <c r="D23" s="95"/>
      <c r="E23" s="165"/>
      <c r="F23" s="166"/>
    </row>
    <row r="24" spans="2:22" s="118" customFormat="1" x14ac:dyDescent="0.25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5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5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5">
      <c r="F27" s="114"/>
      <c r="R27" s="95"/>
      <c r="S27" s="95"/>
      <c r="T27" s="175"/>
    </row>
    <row r="28" spans="2:22" x14ac:dyDescent="0.25">
      <c r="F28" s="114"/>
      <c r="O28" s="118"/>
      <c r="Q28" s="118"/>
      <c r="R28" s="119"/>
      <c r="S28" s="119"/>
    </row>
    <row r="29" spans="2:22" x14ac:dyDescent="0.25">
      <c r="F29" s="114"/>
      <c r="G29" s="21"/>
      <c r="H29" s="115"/>
    </row>
    <row r="30" spans="2:22" x14ac:dyDescent="0.25">
      <c r="H30" s="115"/>
    </row>
    <row r="31" spans="2:22" x14ac:dyDescent="0.25">
      <c r="B31" s="112"/>
      <c r="C31" s="93" t="s">
        <v>98</v>
      </c>
      <c r="H31" s="115"/>
    </row>
    <row r="32" spans="2:22" x14ac:dyDescent="0.25">
      <c r="B32" s="116"/>
      <c r="C32" s="93" t="s">
        <v>99</v>
      </c>
      <c r="H32" s="115"/>
    </row>
    <row r="33" spans="5:8" x14ac:dyDescent="0.25">
      <c r="E33" s="93" t="s">
        <v>238</v>
      </c>
      <c r="F33" s="93" t="s">
        <v>240</v>
      </c>
      <c r="H33" s="115"/>
    </row>
    <row r="35" spans="5:8" x14ac:dyDescent="0.25">
      <c r="E35" s="93" t="s">
        <v>239</v>
      </c>
      <c r="F35" s="93">
        <f>24*365</f>
        <v>8760</v>
      </c>
    </row>
    <row r="36" spans="5:8" x14ac:dyDescent="0.25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6" zoomScale="226" zoomScaleNormal="226" workbookViewId="0">
      <selection activeCell="K11" sqref="K11"/>
    </sheetView>
  </sheetViews>
  <sheetFormatPr defaultRowHeight="13.2" x14ac:dyDescent="0.25"/>
  <cols>
    <col min="1" max="1" width="3.6640625" customWidth="1"/>
    <col min="2" max="2" width="11.88671875" bestFit="1" customWidth="1"/>
    <col min="3" max="3" width="25.33203125" bestFit="1" customWidth="1"/>
    <col min="4" max="4" width="14.33203125" bestFit="1" customWidth="1"/>
    <col min="13" max="13" width="10.5546875" bestFit="1" customWidth="1"/>
    <col min="16" max="16" width="12.44140625" bestFit="1" customWidth="1"/>
    <col min="17" max="17" width="10.33203125" bestFit="1" customWidth="1"/>
  </cols>
  <sheetData>
    <row r="1" spans="2:18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6" x14ac:dyDescent="0.3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53"/>
    </row>
    <row r="5" spans="2:18" x14ac:dyDescent="0.25">
      <c r="C5" s="123" t="s">
        <v>13</v>
      </c>
      <c r="D5" s="123"/>
      <c r="E5" s="1"/>
    </row>
    <row r="6" spans="2:18" x14ac:dyDescent="0.25">
      <c r="B6" s="122" t="s">
        <v>179</v>
      </c>
      <c r="C6" s="122" t="s">
        <v>0</v>
      </c>
      <c r="D6" s="122" t="s">
        <v>180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1.2" x14ac:dyDescent="0.25">
      <c r="B7" s="125" t="s">
        <v>81</v>
      </c>
      <c r="C7" s="125" t="s">
        <v>181</v>
      </c>
      <c r="D7" s="125" t="s">
        <v>182</v>
      </c>
      <c r="E7" s="125" t="s">
        <v>183</v>
      </c>
      <c r="F7" s="125" t="s">
        <v>183</v>
      </c>
      <c r="G7" s="125" t="s">
        <v>183</v>
      </c>
      <c r="H7" s="125" t="s">
        <v>183</v>
      </c>
      <c r="I7" s="125" t="s">
        <v>183</v>
      </c>
      <c r="J7" s="125" t="s">
        <v>183</v>
      </c>
      <c r="K7" s="125" t="s">
        <v>183</v>
      </c>
      <c r="L7" s="152"/>
      <c r="M7" s="154" t="s">
        <v>253</v>
      </c>
      <c r="N7" s="130"/>
      <c r="O7" s="122" t="s">
        <v>179</v>
      </c>
      <c r="P7" s="122" t="s">
        <v>0</v>
      </c>
      <c r="Q7" s="122" t="s">
        <v>185</v>
      </c>
      <c r="R7" s="122">
        <v>2022</v>
      </c>
    </row>
    <row r="8" spans="2:18" ht="21.6" thickBot="1" x14ac:dyDescent="0.3">
      <c r="B8" s="124" t="s">
        <v>87</v>
      </c>
      <c r="C8" s="124"/>
      <c r="D8" s="124"/>
      <c r="E8" s="124" t="s">
        <v>163</v>
      </c>
      <c r="F8" s="124" t="s">
        <v>163</v>
      </c>
      <c r="G8" s="124" t="s">
        <v>163</v>
      </c>
      <c r="H8" s="124" t="s">
        <v>163</v>
      </c>
      <c r="I8" s="124" t="s">
        <v>163</v>
      </c>
      <c r="J8" s="124" t="s">
        <v>163</v>
      </c>
      <c r="K8" s="124" t="s">
        <v>163</v>
      </c>
      <c r="L8" s="152"/>
      <c r="M8" s="154"/>
      <c r="N8" s="130"/>
      <c r="O8" s="132" t="s">
        <v>81</v>
      </c>
      <c r="P8" s="132" t="s">
        <v>181</v>
      </c>
      <c r="Q8" s="132"/>
      <c r="R8" s="132"/>
    </row>
    <row r="9" spans="2:18" ht="13.8" thickBot="1" x14ac:dyDescent="0.3">
      <c r="B9" s="126" t="s">
        <v>184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8" thickBot="1" x14ac:dyDescent="0.3">
      <c r="B10" s="126" t="s">
        <v>184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186</v>
      </c>
      <c r="P10" s="1" t="str">
        <f>DemTechs_INDF!P$6</f>
        <v>MANELC</v>
      </c>
      <c r="Q10" s="93" t="s">
        <v>187</v>
      </c>
      <c r="R10" s="133">
        <v>0.75</v>
      </c>
    </row>
    <row r="11" spans="2:18" ht="13.8" thickBot="1" x14ac:dyDescent="0.3">
      <c r="B11" s="126"/>
      <c r="C11" s="126"/>
      <c r="D11" s="126"/>
      <c r="E11" s="128"/>
      <c r="F11" s="128"/>
      <c r="K11" s="5"/>
      <c r="M11" s="155"/>
      <c r="O11" s="1" t="s">
        <v>186</v>
      </c>
      <c r="P11" s="1" t="str">
        <f>DemTechs_INDF!P$6</f>
        <v>MANELC</v>
      </c>
      <c r="Q11" s="93" t="s">
        <v>188</v>
      </c>
      <c r="R11" s="133">
        <v>0.25</v>
      </c>
    </row>
    <row r="12" spans="2:18" x14ac:dyDescent="0.25">
      <c r="B12" s="126"/>
      <c r="C12" s="126"/>
      <c r="D12" s="145" t="s">
        <v>251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186</v>
      </c>
      <c r="P12" s="1" t="str">
        <f>DemTechs_INDF!P$6</f>
        <v>MANELC</v>
      </c>
      <c r="Q12" s="93" t="s">
        <v>189</v>
      </c>
      <c r="R12" s="133">
        <v>1.0416666666666666E-2</v>
      </c>
    </row>
    <row r="13" spans="2:18" x14ac:dyDescent="0.25">
      <c r="B13" s="1"/>
      <c r="D13" t="s">
        <v>252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186</v>
      </c>
      <c r="P13" s="1" t="str">
        <f>DemTechs_INDF!P$6</f>
        <v>MANELC</v>
      </c>
      <c r="Q13" s="134" t="s">
        <v>190</v>
      </c>
      <c r="R13" s="135">
        <v>1.0416666666666666E-2</v>
      </c>
    </row>
    <row r="14" spans="2:18" x14ac:dyDescent="0.25">
      <c r="O14" s="1" t="s">
        <v>186</v>
      </c>
      <c r="P14" s="1" t="str">
        <f>DemTechs_INDF!P$6</f>
        <v>MANELC</v>
      </c>
      <c r="Q14" t="s">
        <v>191</v>
      </c>
      <c r="R14" s="133">
        <v>1.0416666666666666E-2</v>
      </c>
    </row>
    <row r="15" spans="2:18" x14ac:dyDescent="0.25">
      <c r="O15" s="1" t="s">
        <v>186</v>
      </c>
      <c r="P15" s="1" t="str">
        <f>DemTechs_INDF!P$6</f>
        <v>MANELC</v>
      </c>
      <c r="Q15" t="s">
        <v>192</v>
      </c>
      <c r="R15" s="133">
        <v>1.0416666666666666E-2</v>
      </c>
    </row>
    <row r="16" spans="2:18" x14ac:dyDescent="0.25">
      <c r="E16" s="5"/>
      <c r="O16" s="1" t="s">
        <v>186</v>
      </c>
      <c r="P16" s="1" t="str">
        <f>DemTechs_INDF!P$6</f>
        <v>MANELC</v>
      </c>
      <c r="Q16" t="s">
        <v>193</v>
      </c>
      <c r="R16" s="133">
        <v>1.0416666666666666E-2</v>
      </c>
    </row>
    <row r="17" spans="2:18" x14ac:dyDescent="0.25">
      <c r="O17" s="1" t="s">
        <v>186</v>
      </c>
      <c r="P17" s="1" t="str">
        <f>DemTechs_INDF!P$6</f>
        <v>MANELC</v>
      </c>
      <c r="Q17" t="s">
        <v>194</v>
      </c>
      <c r="R17" s="135">
        <v>1.0416666666666666E-2</v>
      </c>
    </row>
    <row r="18" spans="2:18" x14ac:dyDescent="0.25">
      <c r="O18" s="1" t="s">
        <v>186</v>
      </c>
      <c r="P18" s="1" t="str">
        <f>DemTechs_INDF!P$6</f>
        <v>MANELC</v>
      </c>
      <c r="Q18" t="s">
        <v>195</v>
      </c>
      <c r="R18" s="133">
        <v>1.0416666666666666E-2</v>
      </c>
    </row>
    <row r="19" spans="2:18" x14ac:dyDescent="0.25">
      <c r="B19" s="1"/>
      <c r="E19" s="5">
        <f>EBF!J19</f>
        <v>150.60848427090019</v>
      </c>
      <c r="O19" s="1" t="s">
        <v>186</v>
      </c>
      <c r="P19" s="1" t="str">
        <f>DemTechs_INDF!P$6</f>
        <v>MANELC</v>
      </c>
      <c r="Q19" t="s">
        <v>196</v>
      </c>
      <c r="R19" s="133">
        <v>1.0416666666666666E-2</v>
      </c>
    </row>
    <row r="20" spans="2:18" x14ac:dyDescent="0.25">
      <c r="B20" s="1"/>
      <c r="E20" s="5">
        <f>EBF!E19</f>
        <v>8781.4640358504003</v>
      </c>
      <c r="O20" s="1" t="s">
        <v>186</v>
      </c>
      <c r="P20" s="1" t="str">
        <f>DemTechs_INDF!P$6</f>
        <v>MANELC</v>
      </c>
      <c r="Q20" t="s">
        <v>197</v>
      </c>
      <c r="R20" s="133">
        <v>1.0416666666666666E-2</v>
      </c>
    </row>
    <row r="21" spans="2:18" x14ac:dyDescent="0.25">
      <c r="O21" s="1" t="s">
        <v>186</v>
      </c>
      <c r="P21" s="1" t="str">
        <f>DemTechs_INDF!P$6</f>
        <v>MANELC</v>
      </c>
      <c r="Q21" t="s">
        <v>198</v>
      </c>
      <c r="R21" s="135">
        <v>1.0416666666666666E-2</v>
      </c>
    </row>
    <row r="22" spans="2:18" x14ac:dyDescent="0.25">
      <c r="B22" s="127"/>
      <c r="C22" s="1" t="s">
        <v>98</v>
      </c>
      <c r="O22" s="1" t="s">
        <v>186</v>
      </c>
      <c r="P22" s="1" t="str">
        <f>DemTechs_INDF!P$6</f>
        <v>MANELC</v>
      </c>
      <c r="Q22" t="s">
        <v>199</v>
      </c>
      <c r="R22" s="133">
        <v>1.0416666666666666E-2</v>
      </c>
    </row>
    <row r="23" spans="2:18" x14ac:dyDescent="0.25">
      <c r="B23" s="47"/>
      <c r="C23" s="1" t="s">
        <v>99</v>
      </c>
      <c r="O23" s="1" t="s">
        <v>186</v>
      </c>
      <c r="P23" s="1" t="str">
        <f>DemTechs_INDF!P$6</f>
        <v>MANELC</v>
      </c>
      <c r="Q23" t="s">
        <v>200</v>
      </c>
      <c r="R23" s="133">
        <v>1.0416666666666666E-2</v>
      </c>
    </row>
    <row r="24" spans="2:18" x14ac:dyDescent="0.25">
      <c r="O24" s="1" t="s">
        <v>186</v>
      </c>
      <c r="P24" s="1" t="str">
        <f>DemTechs_INDF!P$6</f>
        <v>MANELC</v>
      </c>
      <c r="Q24" t="s">
        <v>201</v>
      </c>
      <c r="R24" s="133">
        <v>1.0416666666666666E-2</v>
      </c>
    </row>
    <row r="25" spans="2:18" x14ac:dyDescent="0.25">
      <c r="O25" s="1" t="s">
        <v>186</v>
      </c>
      <c r="P25" s="1" t="str">
        <f>DemTechs_INDF!P$6</f>
        <v>MANELC</v>
      </c>
      <c r="Q25" t="s">
        <v>202</v>
      </c>
      <c r="R25" s="135">
        <v>1.0416666666666666E-2</v>
      </c>
    </row>
    <row r="26" spans="2:18" x14ac:dyDescent="0.25">
      <c r="O26" s="1" t="s">
        <v>186</v>
      </c>
      <c r="P26" s="1" t="str">
        <f>DemTechs_INDF!P$6</f>
        <v>MANELC</v>
      </c>
      <c r="Q26" t="s">
        <v>203</v>
      </c>
      <c r="R26" s="133">
        <v>1.0416666666666666E-2</v>
      </c>
    </row>
    <row r="27" spans="2:18" x14ac:dyDescent="0.25">
      <c r="O27" s="1" t="s">
        <v>186</v>
      </c>
      <c r="P27" s="1" t="str">
        <f>DemTechs_INDF!P$6</f>
        <v>MANELC</v>
      </c>
      <c r="Q27" t="s">
        <v>204</v>
      </c>
      <c r="R27" s="133">
        <v>1.0416666666666666E-2</v>
      </c>
    </row>
    <row r="28" spans="2:18" x14ac:dyDescent="0.25">
      <c r="O28" s="1" t="s">
        <v>186</v>
      </c>
      <c r="P28" s="1" t="str">
        <f>DemTechs_INDF!P$6</f>
        <v>MANELC</v>
      </c>
      <c r="Q28" t="s">
        <v>205</v>
      </c>
      <c r="R28" s="133">
        <v>1.0416666666666666E-2</v>
      </c>
    </row>
    <row r="29" spans="2:18" x14ac:dyDescent="0.25">
      <c r="O29" s="1" t="s">
        <v>186</v>
      </c>
      <c r="P29" s="1" t="str">
        <f>DemTechs_INDF!P$6</f>
        <v>MANELC</v>
      </c>
      <c r="Q29" t="s">
        <v>206</v>
      </c>
      <c r="R29" s="135">
        <v>1.0416666666666666E-2</v>
      </c>
    </row>
    <row r="30" spans="2:18" x14ac:dyDescent="0.25">
      <c r="O30" s="1" t="s">
        <v>186</v>
      </c>
      <c r="P30" s="1" t="str">
        <f>DemTechs_INDF!P$6</f>
        <v>MANELC</v>
      </c>
      <c r="Q30" t="s">
        <v>207</v>
      </c>
      <c r="R30" s="133">
        <v>1.0416666666666666E-2</v>
      </c>
    </row>
    <row r="31" spans="2:18" x14ac:dyDescent="0.25">
      <c r="O31" s="1" t="s">
        <v>186</v>
      </c>
      <c r="P31" s="1" t="str">
        <f>DemTechs_INDF!P$6</f>
        <v>MANELC</v>
      </c>
      <c r="Q31" t="s">
        <v>208</v>
      </c>
      <c r="R31" s="133">
        <v>1.0416666666666666E-2</v>
      </c>
    </row>
    <row r="32" spans="2:18" x14ac:dyDescent="0.25">
      <c r="O32" s="1" t="s">
        <v>186</v>
      </c>
      <c r="P32" s="1" t="str">
        <f>DemTechs_INDF!P$6</f>
        <v>MANELC</v>
      </c>
      <c r="Q32" t="s">
        <v>209</v>
      </c>
      <c r="R32" s="133">
        <v>1.0416666666666666E-2</v>
      </c>
    </row>
    <row r="33" spans="15:18" x14ac:dyDescent="0.25">
      <c r="O33" s="1" t="s">
        <v>186</v>
      </c>
      <c r="P33" s="1" t="str">
        <f>DemTechs_INDF!P$6</f>
        <v>MANELC</v>
      </c>
      <c r="Q33" t="s">
        <v>210</v>
      </c>
      <c r="R33" s="135">
        <v>1.0416666666666666E-2</v>
      </c>
    </row>
    <row r="34" spans="15:18" x14ac:dyDescent="0.25">
      <c r="O34" s="1" t="s">
        <v>186</v>
      </c>
      <c r="P34" s="1" t="str">
        <f>DemTechs_INDF!P$6</f>
        <v>MANELC</v>
      </c>
      <c r="Q34" t="s">
        <v>211</v>
      </c>
      <c r="R34" s="133">
        <v>1.0416666666666666E-2</v>
      </c>
    </row>
    <row r="35" spans="15:18" x14ac:dyDescent="0.25">
      <c r="O35" s="1" t="s">
        <v>186</v>
      </c>
      <c r="P35" s="1" t="str">
        <f>DemTechs_INDF!P$6</f>
        <v>MANELC</v>
      </c>
      <c r="Q35" t="s">
        <v>212</v>
      </c>
      <c r="R35" s="133">
        <v>1.0416666666666666E-2</v>
      </c>
    </row>
    <row r="36" spans="15:18" x14ac:dyDescent="0.25">
      <c r="O36" s="1" t="s">
        <v>186</v>
      </c>
      <c r="P36" s="1" t="str">
        <f>DemTechs_INDF!P$6</f>
        <v>MANELC</v>
      </c>
      <c r="Q36" t="s">
        <v>213</v>
      </c>
      <c r="R36" s="133">
        <v>3.125E-2</v>
      </c>
    </row>
    <row r="37" spans="15:18" x14ac:dyDescent="0.25">
      <c r="O37" s="1" t="s">
        <v>186</v>
      </c>
      <c r="P37" s="1" t="str">
        <f>DemTechs_INDF!P$6</f>
        <v>MANELC</v>
      </c>
      <c r="Q37" t="s">
        <v>214</v>
      </c>
      <c r="R37" s="135">
        <v>3.125E-2</v>
      </c>
    </row>
    <row r="38" spans="15:18" x14ac:dyDescent="0.25">
      <c r="O38" s="1" t="s">
        <v>186</v>
      </c>
      <c r="P38" s="1" t="str">
        <f>DemTechs_INDF!P$6</f>
        <v>MANELC</v>
      </c>
      <c r="Q38" t="s">
        <v>215</v>
      </c>
      <c r="R38" s="133">
        <v>3.125E-2</v>
      </c>
    </row>
    <row r="39" spans="15:18" x14ac:dyDescent="0.25">
      <c r="O39" s="1" t="s">
        <v>186</v>
      </c>
      <c r="P39" s="1" t="str">
        <f>DemTechs_INDF!P$6</f>
        <v>MANELC</v>
      </c>
      <c r="Q39" t="s">
        <v>216</v>
      </c>
      <c r="R39" s="133">
        <v>3.125E-2</v>
      </c>
    </row>
    <row r="40" spans="15:18" x14ac:dyDescent="0.25">
      <c r="O40" s="1" t="s">
        <v>186</v>
      </c>
      <c r="P40" s="1" t="str">
        <f>DemTechs_INDF!P$6</f>
        <v>MANELC</v>
      </c>
      <c r="Q40" t="s">
        <v>217</v>
      </c>
      <c r="R40" s="133">
        <v>3.125E-2</v>
      </c>
    </row>
    <row r="41" spans="15:18" x14ac:dyDescent="0.25">
      <c r="O41" s="1" t="s">
        <v>186</v>
      </c>
      <c r="P41" s="1" t="str">
        <f>DemTechs_INDF!P$6</f>
        <v>MANELC</v>
      </c>
      <c r="Q41" t="s">
        <v>218</v>
      </c>
      <c r="R41" s="135">
        <v>3.125E-2</v>
      </c>
    </row>
    <row r="42" spans="15:18" x14ac:dyDescent="0.25">
      <c r="O42" s="1" t="s">
        <v>186</v>
      </c>
      <c r="P42" s="1" t="str">
        <f>DemTechs_INDF!P$6</f>
        <v>MANELC</v>
      </c>
      <c r="Q42" t="s">
        <v>219</v>
      </c>
      <c r="R42" s="133">
        <v>3.125E-2</v>
      </c>
    </row>
    <row r="43" spans="15:18" x14ac:dyDescent="0.25">
      <c r="O43" s="1" t="s">
        <v>186</v>
      </c>
      <c r="P43" s="1" t="str">
        <f>DemTechs_INDF!P$6</f>
        <v>MANELC</v>
      </c>
      <c r="Q43" t="s">
        <v>220</v>
      </c>
      <c r="R43" s="133">
        <v>3.125E-2</v>
      </c>
    </row>
    <row r="44" spans="15:18" x14ac:dyDescent="0.25">
      <c r="O44" s="1" t="s">
        <v>186</v>
      </c>
      <c r="P44" s="1" t="str">
        <f>DemTechs_INDF!P$6</f>
        <v>MANELC</v>
      </c>
      <c r="Q44" t="s">
        <v>221</v>
      </c>
      <c r="R44" s="133">
        <v>3.125E-2</v>
      </c>
    </row>
    <row r="45" spans="15:18" x14ac:dyDescent="0.25">
      <c r="O45" s="1" t="s">
        <v>186</v>
      </c>
      <c r="P45" s="1" t="str">
        <f>DemTechs_INDF!P$6</f>
        <v>MANELC</v>
      </c>
      <c r="Q45" t="s">
        <v>222</v>
      </c>
      <c r="R45" s="135">
        <v>3.125E-2</v>
      </c>
    </row>
    <row r="46" spans="15:18" x14ac:dyDescent="0.25">
      <c r="O46" s="1" t="s">
        <v>186</v>
      </c>
      <c r="P46" s="1" t="str">
        <f>DemTechs_INDF!P$6</f>
        <v>MANELC</v>
      </c>
      <c r="Q46" t="s">
        <v>223</v>
      </c>
      <c r="R46" s="133">
        <v>3.125E-2</v>
      </c>
    </row>
    <row r="47" spans="15:18" x14ac:dyDescent="0.25">
      <c r="O47" s="1" t="s">
        <v>186</v>
      </c>
      <c r="P47" s="1" t="str">
        <f>DemTechs_INDF!P$6</f>
        <v>MANELC</v>
      </c>
      <c r="Q47" t="s">
        <v>224</v>
      </c>
      <c r="R47" s="133">
        <v>3.125E-2</v>
      </c>
    </row>
    <row r="48" spans="15:18" x14ac:dyDescent="0.25">
      <c r="O48" s="1" t="s">
        <v>186</v>
      </c>
      <c r="P48" s="1" t="str">
        <f>DemTechs_INDF!P$6</f>
        <v>MANELC</v>
      </c>
      <c r="Q48" t="s">
        <v>225</v>
      </c>
      <c r="R48" s="133">
        <v>3.125E-2</v>
      </c>
    </row>
    <row r="49" spans="15:18" x14ac:dyDescent="0.25">
      <c r="O49" s="1" t="s">
        <v>186</v>
      </c>
      <c r="P49" s="1" t="str">
        <f>DemTechs_INDF!P$6</f>
        <v>MANELC</v>
      </c>
      <c r="Q49" t="s">
        <v>226</v>
      </c>
      <c r="R49" s="135">
        <v>3.125E-2</v>
      </c>
    </row>
    <row r="50" spans="15:18" x14ac:dyDescent="0.25">
      <c r="O50" s="1" t="s">
        <v>186</v>
      </c>
      <c r="P50" s="1" t="str">
        <f>DemTechs_INDF!P$6</f>
        <v>MANELC</v>
      </c>
      <c r="Q50" t="s">
        <v>227</v>
      </c>
      <c r="R50" s="133">
        <v>3.125E-2</v>
      </c>
    </row>
    <row r="51" spans="15:18" x14ac:dyDescent="0.25">
      <c r="O51" s="1" t="s">
        <v>186</v>
      </c>
      <c r="P51" s="1" t="str">
        <f>DemTechs_INDF!P$6</f>
        <v>MANELC</v>
      </c>
      <c r="Q51" t="s">
        <v>228</v>
      </c>
      <c r="R51" s="133">
        <v>3.125E-2</v>
      </c>
    </row>
    <row r="52" spans="15:18" x14ac:dyDescent="0.25">
      <c r="O52" s="1" t="s">
        <v>186</v>
      </c>
      <c r="P52" s="1" t="str">
        <f>DemTechs_INDF!P$6</f>
        <v>MANELC</v>
      </c>
      <c r="Q52" t="s">
        <v>229</v>
      </c>
      <c r="R52" s="133">
        <v>3.125E-2</v>
      </c>
    </row>
    <row r="53" spans="15:18" x14ac:dyDescent="0.25">
      <c r="O53" s="1" t="s">
        <v>186</v>
      </c>
      <c r="P53" s="1" t="str">
        <f>DemTechs_INDF!P$6</f>
        <v>MANELC</v>
      </c>
      <c r="Q53" t="s">
        <v>230</v>
      </c>
      <c r="R53" s="135">
        <v>3.125E-2</v>
      </c>
    </row>
    <row r="54" spans="15:18" x14ac:dyDescent="0.25">
      <c r="O54" s="1" t="s">
        <v>186</v>
      </c>
      <c r="P54" s="1" t="str">
        <f>DemTechs_INDF!P$6</f>
        <v>MANELC</v>
      </c>
      <c r="Q54" t="s">
        <v>231</v>
      </c>
      <c r="R54" s="133">
        <v>3.125E-2</v>
      </c>
    </row>
    <row r="55" spans="15:18" x14ac:dyDescent="0.25">
      <c r="O55" s="1" t="s">
        <v>186</v>
      </c>
      <c r="P55" s="1" t="str">
        <f>DemTechs_INDF!P$6</f>
        <v>MANELC</v>
      </c>
      <c r="Q55" t="s">
        <v>232</v>
      </c>
      <c r="R55" s="133">
        <v>3.125E-2</v>
      </c>
    </row>
    <row r="56" spans="15:18" x14ac:dyDescent="0.25">
      <c r="O56" s="1" t="s">
        <v>186</v>
      </c>
      <c r="P56" s="1" t="str">
        <f>DemTechs_INDF!P$6</f>
        <v>MANELC</v>
      </c>
      <c r="Q56" t="s">
        <v>233</v>
      </c>
      <c r="R56" s="133">
        <v>3.125E-2</v>
      </c>
    </row>
    <row r="57" spans="15:18" x14ac:dyDescent="0.25">
      <c r="O57" s="1" t="s">
        <v>186</v>
      </c>
      <c r="P57" s="1" t="str">
        <f>DemTechs_INDF!P$6</f>
        <v>MANELC</v>
      </c>
      <c r="Q57" t="s">
        <v>234</v>
      </c>
      <c r="R57" s="135">
        <v>3.125E-2</v>
      </c>
    </row>
    <row r="58" spans="15:18" x14ac:dyDescent="0.25">
      <c r="O58" s="1" t="s">
        <v>186</v>
      </c>
      <c r="P58" s="1" t="str">
        <f>DemTechs_INDF!P$6</f>
        <v>MANELC</v>
      </c>
      <c r="Q58" t="s">
        <v>235</v>
      </c>
      <c r="R58" s="133">
        <v>3.125E-2</v>
      </c>
    </row>
    <row r="59" spans="15:18" x14ac:dyDescent="0.25">
      <c r="O59" s="1" t="s">
        <v>186</v>
      </c>
      <c r="P59" s="1" t="str">
        <f>DemTechs_INDF!P$6</f>
        <v>MANELC</v>
      </c>
      <c r="Q59" t="s">
        <v>236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37" t="s">
        <v>243</v>
      </c>
      <c r="C3" s="137"/>
      <c r="D3" s="137"/>
      <c r="E3" s="137"/>
      <c r="F3" s="137"/>
      <c r="G3" s="137"/>
      <c r="H3" s="137"/>
    </row>
    <row r="4" spans="2:9" ht="17.399999999999999" customHeight="1" x14ac:dyDescent="0.3">
      <c r="B4" s="138"/>
      <c r="C4" s="138"/>
      <c r="D4" s="138"/>
      <c r="E4" s="138"/>
      <c r="F4" s="138"/>
      <c r="G4" s="138"/>
    </row>
    <row r="5" spans="2:9" ht="17.399999999999999" x14ac:dyDescent="0.3">
      <c r="B5" s="139" t="s">
        <v>244</v>
      </c>
      <c r="C5" s="140"/>
    </row>
    <row r="6" spans="2:9" ht="13.8" thickBot="1" x14ac:dyDescent="0.3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8" thickBot="1" x14ac:dyDescent="0.3">
      <c r="B7" s="142" t="s">
        <v>87</v>
      </c>
      <c r="C7" s="142" t="s">
        <v>245</v>
      </c>
      <c r="D7" s="142" t="s">
        <v>245</v>
      </c>
      <c r="E7" s="142" t="s">
        <v>245</v>
      </c>
      <c r="F7" s="142" t="s">
        <v>245</v>
      </c>
      <c r="G7" s="142"/>
      <c r="H7" s="142"/>
      <c r="I7" s="1"/>
    </row>
    <row r="8" spans="2:9" x14ac:dyDescent="0.25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5">
      <c r="B23" s="127"/>
      <c r="C23" s="1" t="s">
        <v>98</v>
      </c>
    </row>
    <row r="24" spans="2:3" x14ac:dyDescent="0.25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2025-11-03T11:25:16Z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