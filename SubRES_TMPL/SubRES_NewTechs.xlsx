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7FDB1755-8B97-44EB-9841-D63E06CB523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6" l="1"/>
  <c r="D31" i="6"/>
  <c r="B32" i="6"/>
  <c r="B31" i="6"/>
  <c r="C30" i="6"/>
  <c r="C29" i="6"/>
  <c r="C28" i="6"/>
  <c r="H30" i="6"/>
  <c r="H29" i="6"/>
  <c r="H28" i="6"/>
  <c r="H27" i="6"/>
  <c r="H26" i="6"/>
  <c r="B23" i="7"/>
  <c r="B22" i="7"/>
  <c r="B21" i="7"/>
  <c r="B20" i="7"/>
  <c r="B19" i="7"/>
  <c r="C23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<sst xmlns="http://schemas.openxmlformats.org/spreadsheetml/2006/main" count="236" uniqueCount="123">
  <si>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</si>
  <si>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</si>
  <si>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</si>
  <si>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</si>
  <si>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</si>
  <si>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</si>
  <si>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</si>
  <si>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</si>
  <si>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</si>
  <si>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</si>
  <si>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</si>
  <si>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</si>
  <si>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</si>
  <si>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</si>
  <si>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</si>
  <si>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</si>
  <si>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</si>
  <si>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</si>
  <si>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</si>
  <si>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</si>
  <si>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</si>
  <si>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</si>
  <si>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</si>
  <si>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</si>
  <si>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</si>
  <si>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</si>
  <si>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</si>
  <si>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</si>
  <si>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</si>
  <si>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</si>
  <si>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</si>
  <si>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</si>
  <si>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</si>
  <si>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</si>
  <si>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</si>
  <si>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</si>
  <si>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</si>
  <si>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</si>
  <si>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</si>
  <si>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</si>
  <si>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</si>
  <si>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</si>
  <si>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</si>
  <si>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</si>
  <si>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</si>
  <si>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</si>
  <si>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</si>
  <si>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</si>
  <si>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</si>
  <si>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</si>
  <si>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</si>
  <si>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</si>
  <si>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</si>
  <si>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</si>
  <si>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</si>
  <si>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</si>
  <si>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</si>
  <si>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</si>
  <si>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</si>
  <si>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</si>
  <si>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</si>
  <si>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</si>
  <si>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</si>
  <si>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</si>
  <si>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</si>
  <si>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</si>
  <si>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</si>
  <si>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</si>
  <si>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</si>
  <si>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</si>
  <si>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</si>
  <si>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</si>
  <si>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</si>
  <si>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</si>
  <si>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</si>
  <si>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</si>
  <si>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</si>
  <si>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</si>
  <si>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SOLTHT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</si>
  <si>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</si>
  <si>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</si>
  <si>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</si>
  <si>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</si>
  <si>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</si>
  <si>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</si>
  <si>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</si>
  <si>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</si>
  <si>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</si>
  <si>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</si>
  <si>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</si>
  <si>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</si>
  <si>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</si>
  <si>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</si>
  <si>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</si>
  <si>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</si>
  <si>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</si>
  <si>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</si>
  <si>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</si>
  <si>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</si>
  <si>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Electricity to MANHEAT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</si>
  <si>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</si>
  <si>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</si>
  <si>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</si>
  <si>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</si>
  <si>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</si>
  <si>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</si>
  <si>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</si>
  <si>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</si>
  <si>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</si>
  <si>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</si>
  <si>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</si>
  <si>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</si>
  <si>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</si>
  <si>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Boiler</t>
  </si>
  <si>
    <t>Kiln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</si>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</sst>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zoomScale="96" zoomScaleNormal="96" workbookViewId="0">
      <selection activeCell="G32" sqref="G3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87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87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87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87</v>
      </c>
      <c r="M5" s="19" t="s">
        <v>59</v>
      </c>
      <c r="N5" s="19"/>
      <c r="O5" s="19" t="s">
        <v>78</v>
      </c>
      <c r="P5" s="19" t="s">
        <v>79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69</v>
      </c>
      <c r="P6" s="19" t="s">
        <v>62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19" t="s">
        <v>59</v>
      </c>
      <c r="N7" s="19"/>
      <c r="O7" s="19" t="s">
        <v>68</v>
      </c>
      <c r="P7" s="19" t="s">
        <v>103</v>
      </c>
      <c r="Q7" s="19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74</v>
      </c>
      <c r="P8" s="72" t="s">
        <v>115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 t="s">
        <v>59</v>
      </c>
      <c r="N9" s="72"/>
      <c r="O9" s="72" t="s">
        <v>121</v>
      </c>
      <c r="P9" s="72" t="s">
        <v>116</v>
      </c>
      <c r="Q9" s="72" t="s">
        <v>58</v>
      </c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80</v>
      </c>
      <c r="H23" s="24" t="s">
        <v>81</v>
      </c>
      <c r="I23" s="24" t="s">
        <v>82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83</v>
      </c>
      <c r="H24" s="25" t="s">
        <v>84</v>
      </c>
      <c r="I24" s="25" t="s">
        <v>85</v>
      </c>
      <c r="J24" s="26" t="s">
        <v>86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87</v>
      </c>
      <c r="I25" s="27" t="s">
        <v>58</v>
      </c>
      <c r="J25" s="28"/>
      <c r="K25" s="28"/>
      <c r="M25" s="20" t="s">
        <v>88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O6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O7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O8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104</v>
      </c>
      <c r="P28" s="34" t="s">
        <v>107</v>
      </c>
      <c r="Q28" t="s">
        <v>58</v>
      </c>
    </row>
    <row r="29" spans="2:21" x14ac:dyDescent="0.2">
      <c r="B29" s="12" t="str">
        <f t="shared" si="0"/>
        <v>SOLPV</v>
      </c>
      <c r="C29" s="15" t="str">
        <f>O9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105</v>
      </c>
      <c r="P29" s="34" t="s">
        <v>106</v>
      </c>
      <c r="Q29" t="s">
        <v>58</v>
      </c>
    </row>
    <row r="30" spans="2:21" x14ac:dyDescent="0.2">
      <c r="B30" s="19" t="s">
        <v>66</v>
      </c>
      <c r="C30" s="19" t="str">
        <f>O9</f>
        <v>SOLAR</v>
      </c>
      <c r="D30" s="19" t="s">
        <v>71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117</v>
      </c>
      <c r="P30" s="73" t="s">
        <v>120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O8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118</v>
      </c>
      <c r="P31" s="73" t="s">
        <v>119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O9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89</v>
      </c>
      <c r="H41" s="68"/>
      <c r="I41" s="69"/>
      <c r="J41" s="68"/>
      <c r="K41" s="68"/>
    </row>
    <row r="42" spans="2:16" x14ac:dyDescent="0.2">
      <c r="B42" s="38"/>
      <c r="C42" s="1" t="s">
        <v>90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abSelected="1" zoomScale="118" zoomScaleNormal="118" workbookViewId="0">
      <selection activeCell="C23" sqref="C23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91</v>
      </c>
    </row>
    <row r="2" spans="2:22" ht="31.5" x14ac:dyDescent="0.25">
      <c r="B2" s="4" t="s">
        <v>109</v>
      </c>
      <c r="C2" s="4" t="s">
        <v>110</v>
      </c>
      <c r="D2" s="39" t="str">
        <f>"Demand Technologies"</f>
        <v>Demand Technologies</v>
      </c>
      <c r="E2" s="4" t="s">
        <v>58</v>
      </c>
      <c r="F2" s="4" t="s">
        <v>111</v>
      </c>
      <c r="G2" s="4"/>
      <c r="H2" s="4" t="s">
        <v>108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92</v>
      </c>
      <c r="F15" s="46" t="s">
        <v>122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93</v>
      </c>
      <c r="F16" s="48" t="s">
        <v>94</v>
      </c>
      <c r="G16" s="48" t="s">
        <v>35</v>
      </c>
      <c r="H16" s="49" t="s">
        <v>49</v>
      </c>
      <c r="I16" s="48" t="s">
        <v>57</v>
      </c>
      <c r="J16" s="48" t="s">
        <v>95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96</v>
      </c>
      <c r="F17" s="52"/>
      <c r="G17" s="52"/>
      <c r="H17" s="53"/>
      <c r="I17" s="52" t="s">
        <v>54</v>
      </c>
      <c r="J17" s="52" t="s">
        <v>87</v>
      </c>
      <c r="K17" s="53"/>
      <c r="L17" s="54"/>
      <c r="M17" s="54"/>
      <c r="N17" s="44" t="s">
        <v>88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0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99</v>
      </c>
      <c r="R18" s="9" t="s">
        <v>58</v>
      </c>
      <c r="S18" s="9" t="s">
        <v>97</v>
      </c>
      <c r="T18" s="59" t="s">
        <v>98</v>
      </c>
      <c r="U18" s="58"/>
      <c r="V18" s="58"/>
    </row>
    <row r="19" spans="2:22" x14ac:dyDescent="0.2">
      <c r="B19" s="9" t="str">
        <f>P$19</f>
        <v>Boiler</v>
      </c>
      <c r="C19" s="9" t="str">
        <f>PRI_Sector_Fuels!O6</f>
        <v>MANBIOMIN</v>
      </c>
      <c r="D19" s="56" t="s">
        <v>71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0</v>
      </c>
      <c r="K19" s="58"/>
      <c r="L19" s="55"/>
      <c r="M19" s="55"/>
      <c r="N19" s="58" t="s">
        <v>64</v>
      </c>
      <c r="O19" s="58"/>
      <c r="P19" s="58" t="s">
        <v>113</v>
      </c>
      <c r="Q19" s="58" t="s">
        <v>112</v>
      </c>
      <c r="R19" s="9" t="s">
        <v>58</v>
      </c>
      <c r="S19" s="9" t="s">
        <v>97</v>
      </c>
      <c r="T19" s="58"/>
      <c r="U19" s="58"/>
      <c r="V19" s="58"/>
    </row>
    <row r="20" spans="2:22" x14ac:dyDescent="0.2">
      <c r="B20" s="9" t="str">
        <f>P$19</f>
        <v>Boiler</v>
      </c>
      <c r="C20" s="9" t="str">
        <f>PRI_Sector_Fuels!O7</f>
        <v>MANGASMIN</v>
      </c>
      <c r="D20" s="56" t="s">
        <v>71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0</v>
      </c>
      <c r="K20" s="58"/>
      <c r="L20" s="55"/>
      <c r="N20" s="58" t="s">
        <v>64</v>
      </c>
      <c r="O20" s="58"/>
      <c r="P20" s="58" t="s">
        <v>114</v>
      </c>
      <c r="Q20" s="58" t="s">
        <v>114</v>
      </c>
      <c r="R20" s="9" t="s">
        <v>58</v>
      </c>
      <c r="S20" s="9" t="s">
        <v>97</v>
      </c>
      <c r="T20" s="58"/>
      <c r="U20" s="58"/>
      <c r="V20" s="58"/>
    </row>
    <row r="21" spans="2:22" s="58" customFormat="1" x14ac:dyDescent="0.2">
      <c r="B21" s="9" t="str">
        <f>P20</f>
        <v>Kiln</v>
      </c>
      <c r="C21" s="9" t="str">
        <f>PRI_Sector_Fuels!O6</f>
        <v>MANBIOMIN</v>
      </c>
      <c r="D21" s="56" t="s">
        <v>71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0</v>
      </c>
      <c r="N21" s="58" t="s">
        <v>64</v>
      </c>
      <c r="P21" s="58" t="s">
        <v>66</v>
      </c>
      <c r="Q21" s="58" t="s">
        <v>79</v>
      </c>
      <c r="R21" s="9" t="s">
        <v>58</v>
      </c>
      <c r="S21" s="9" t="s">
        <v>97</v>
      </c>
    </row>
    <row r="22" spans="2:22" s="58" customFormat="1" x14ac:dyDescent="0.2">
      <c r="B22" s="9" t="str">
        <f>P19</f>
        <v>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0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PRI_Sector_Fuels!O5</f>
        <v>SOLTHT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89</v>
      </c>
      <c r="H29" s="63"/>
    </row>
    <row r="30" spans="2:22" x14ac:dyDescent="0.2">
      <c r="B30" s="64"/>
      <c r="C30" s="8" t="s">
        <v>90</v>
      </c>
      <c r="H30" s="63"/>
    </row>
    <row r="31" spans="2:22" x14ac:dyDescent="0.2">
      <c r="E31" s="8" t="s">
        <v>100</v>
      </c>
      <c r="F31" s="8" t="s">
        <v>101</v>
      </c>
      <c r="H31" s="63"/>
    </row>
    <row r="33" spans="5:6" x14ac:dyDescent="0.2">
      <c r="E33" s="8" t="s">
        <v>102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2025-11-07T10:59:50Z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