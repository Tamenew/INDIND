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43" documentId="13_ncr:1_{9299545E-79C1-4FEF-903B-919E368A4C3A}" xr6:coauthVersionLast="47" xr6:coauthVersionMax="47" xr10:uidLastSave="{284B18F5-E7FB-4CA1-8CB1-E3D1CD90AFA0}"/>
  <bookViews>
    <workbookView xWindow="28680" yWindow="-120" windowWidth="29040" windowHeight="1584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43" l="1"/>
  <c r="F23" i="143"/>
  <c r="N27" i="143"/>
  <c r="N26" i="143"/>
  <c r="N25" i="143"/>
  <c r="B2" i="143"/>
  <c r="S7" i="143"/>
  <c r="D27" i="143"/>
  <c r="D26" i="143"/>
  <c r="D25" i="143"/>
  <c r="E20" i="143"/>
  <c r="G32" i="143"/>
  <c r="E19" i="143"/>
  <c r="G31" i="143"/>
  <c r="E21" i="143"/>
  <c r="G33" i="143"/>
  <c r="E22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32" i="143"/>
  <c r="I33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<sst xmlns="http://schemas.openxmlformats.org/spreadsheetml/2006/main" count="900" uniqueCount="475">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</sst>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254</v>
      </c>
      <c r="B1" s="169"/>
      <c r="C1" s="169"/>
      <c r="D1" s="169"/>
      <c r="V1" s="174" t="s">
        <v>255</v>
      </c>
    </row>
    <row r="2" spans="1:32" ht="15" thickBot="1" x14ac:dyDescent="0.4">
      <c r="A2" s="315" t="s">
        <v>141</v>
      </c>
      <c r="B2" s="316"/>
      <c r="C2" s="316"/>
      <c r="D2" s="316"/>
      <c r="E2" s="317"/>
      <c r="F2" s="315" t="s">
        <v>256</v>
      </c>
      <c r="G2" s="316"/>
      <c r="H2" s="316"/>
      <c r="I2" s="317"/>
      <c r="J2" s="321" t="s">
        <v>257</v>
      </c>
      <c r="K2" s="322"/>
      <c r="L2" s="322"/>
      <c r="M2" s="323"/>
      <c r="N2" s="315" t="s">
        <v>258</v>
      </c>
      <c r="O2" s="316"/>
      <c r="P2" s="316"/>
      <c r="Q2" s="316"/>
      <c r="R2" s="317"/>
      <c r="V2" s="175" t="s">
        <v>141</v>
      </c>
      <c r="W2" s="312" t="s">
        <v>259</v>
      </c>
      <c r="X2" s="313"/>
      <c r="Y2" s="313"/>
      <c r="Z2" s="313"/>
      <c r="AA2" s="314"/>
      <c r="AB2" s="312" t="s">
        <v>260</v>
      </c>
      <c r="AC2" s="313"/>
      <c r="AD2" s="313"/>
      <c r="AE2" s="313"/>
      <c r="AF2" s="314"/>
    </row>
    <row r="3" spans="1:32" ht="24.65" customHeight="1" thickBot="1" x14ac:dyDescent="0.4">
      <c r="A3" s="315" t="s">
        <v>261</v>
      </c>
      <c r="B3" s="316"/>
      <c r="C3" s="316"/>
      <c r="D3" s="316"/>
      <c r="E3" s="317"/>
      <c r="F3" s="176">
        <v>5</v>
      </c>
      <c r="G3" s="176" t="s">
        <v>262</v>
      </c>
      <c r="H3" s="176" t="s">
        <v>263</v>
      </c>
      <c r="I3" s="177">
        <v>10</v>
      </c>
      <c r="J3" s="178">
        <v>5</v>
      </c>
      <c r="K3" s="176" t="s">
        <v>262</v>
      </c>
      <c r="L3" s="179" t="s">
        <v>263</v>
      </c>
      <c r="M3" s="178">
        <v>10</v>
      </c>
      <c r="N3" s="176">
        <v>5</v>
      </c>
      <c r="O3" s="177" t="s">
        <v>262</v>
      </c>
      <c r="P3" s="178" t="s">
        <v>263</v>
      </c>
      <c r="Q3" s="178"/>
      <c r="R3" s="176">
        <v>10</v>
      </c>
      <c r="V3" s="180" t="s">
        <v>264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265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266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267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268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269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270</v>
      </c>
      <c r="C23" s="192"/>
      <c r="D23" s="192"/>
      <c r="E23" s="192" t="s">
        <v>271</v>
      </c>
      <c r="F23" s="192"/>
      <c r="G23" s="170" t="s">
        <v>272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273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274</v>
      </c>
      <c r="X25" s="6" t="s">
        <v>275</v>
      </c>
    </row>
    <row r="26" spans="1:24" s="194" customFormat="1" x14ac:dyDescent="0.35">
      <c r="A26" s="194" t="s">
        <v>276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277</v>
      </c>
    </row>
    <row r="27" spans="1:24" x14ac:dyDescent="0.35">
      <c r="A27" s="170" t="s">
        <v>278</v>
      </c>
      <c r="E27" s="170">
        <f>(E50+E52+E51)*0.2777778</f>
        <v>19062.637636122003</v>
      </c>
    </row>
    <row r="28" spans="1:24" s="196" customFormat="1" x14ac:dyDescent="0.35">
      <c r="A28" s="196" t="s">
        <v>279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280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281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282</v>
      </c>
      <c r="E31" s="198"/>
      <c r="O31" s="199">
        <f>(O26-E26)/E26</f>
        <v>-1</v>
      </c>
    </row>
    <row r="32" spans="1:24" s="200" customFormat="1" x14ac:dyDescent="0.35">
      <c r="A32" s="200" t="s">
        <v>283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284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285</v>
      </c>
    </row>
    <row r="39" spans="1:20" s="202" customFormat="1" x14ac:dyDescent="0.35">
      <c r="A39" s="202" t="s">
        <v>286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287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288</v>
      </c>
    </row>
    <row r="41" spans="1:20" s="202" customFormat="1" x14ac:dyDescent="0.35">
      <c r="A41" s="202" t="s">
        <v>289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290</v>
      </c>
    </row>
    <row r="42" spans="1:20" s="202" customFormat="1" x14ac:dyDescent="0.35">
      <c r="A42" s="202" t="s">
        <v>291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292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293</v>
      </c>
      <c r="E45" s="208">
        <f>E39/(E38+E39)</f>
        <v>0.78227062033730832</v>
      </c>
    </row>
    <row r="46" spans="1:20" x14ac:dyDescent="0.35">
      <c r="A46" s="170" t="s">
        <v>294</v>
      </c>
      <c r="E46" s="198">
        <f>E38/(E38+E39)</f>
        <v>0.21772937966269174</v>
      </c>
    </row>
    <row r="47" spans="1:20" x14ac:dyDescent="0.35">
      <c r="A47" s="202" t="s">
        <v>295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296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297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298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299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300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301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302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303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304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305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306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307</v>
      </c>
      <c r="G63" s="170" t="s">
        <v>308</v>
      </c>
      <c r="J63" s="214" t="s">
        <v>309</v>
      </c>
      <c r="O63" s="215"/>
      <c r="P63" s="215" t="s">
        <v>310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311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312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313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314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315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316</v>
      </c>
    </row>
    <row r="69" spans="1:25" s="223" customFormat="1" x14ac:dyDescent="0.35">
      <c r="A69" s="223" t="s">
        <v>317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318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319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320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321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322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323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324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325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326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327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328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329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330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331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332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333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334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335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336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337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338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339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340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341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342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343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344</v>
      </c>
    </row>
    <row r="109" spans="1:19" x14ac:dyDescent="0.35">
      <c r="A109" s="170" t="s">
        <v>345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346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300</v>
      </c>
      <c r="K1" s="241" t="s">
        <v>315</v>
      </c>
      <c r="L1" s="241" t="s">
        <v>317</v>
      </c>
      <c r="M1" s="241" t="s">
        <v>318</v>
      </c>
      <c r="N1" s="241" t="s">
        <v>319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300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315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317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318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319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347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348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349</v>
      </c>
      <c r="B1" s="20" t="s">
        <v>21</v>
      </c>
      <c r="C1" s="326" t="s">
        <v>350</v>
      </c>
      <c r="D1" s="326"/>
      <c r="E1" s="326"/>
      <c r="F1" s="326"/>
      <c r="G1" s="326" t="s">
        <v>351</v>
      </c>
      <c r="H1" s="326"/>
      <c r="I1" s="326"/>
      <c r="J1" s="326"/>
      <c r="K1" s="326" t="s">
        <v>352</v>
      </c>
      <c r="L1" s="326"/>
      <c r="M1" s="326" t="s">
        <v>353</v>
      </c>
      <c r="N1" s="326"/>
      <c r="O1" s="326" t="s">
        <v>354</v>
      </c>
      <c r="P1" s="326"/>
      <c r="Q1" s="326"/>
      <c r="R1" s="326" t="s">
        <v>354</v>
      </c>
      <c r="S1" s="326"/>
      <c r="T1" s="326"/>
      <c r="U1" s="326" t="s">
        <v>354</v>
      </c>
      <c r="V1" s="326"/>
      <c r="W1" s="326"/>
      <c r="X1" s="20" t="s">
        <v>355</v>
      </c>
      <c r="Y1" s="326" t="s">
        <v>356</v>
      </c>
      <c r="Z1" s="326"/>
      <c r="AA1" s="326"/>
    </row>
    <row r="2" spans="1:27" s="20" customFormat="1" ht="13" x14ac:dyDescent="0.3">
      <c r="A2" s="20" t="s">
        <v>357</v>
      </c>
      <c r="C2" s="20" t="s">
        <v>358</v>
      </c>
      <c r="D2" s="20" t="s">
        <v>359</v>
      </c>
      <c r="E2" s="20" t="s">
        <v>360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360</v>
      </c>
      <c r="J2" s="20" t="str">
        <f>F2</f>
        <v>Currency</v>
      </c>
      <c r="K2" s="20" t="s">
        <v>358</v>
      </c>
      <c r="L2" s="20" t="s">
        <v>359</v>
      </c>
      <c r="O2" s="326" t="s">
        <v>358</v>
      </c>
      <c r="P2" s="326"/>
      <c r="Q2" s="326"/>
      <c r="R2" s="326" t="s">
        <v>361</v>
      </c>
      <c r="S2" s="326"/>
      <c r="T2" s="326"/>
      <c r="U2" s="326" t="s">
        <v>360</v>
      </c>
      <c r="V2" s="326"/>
      <c r="W2" s="326"/>
      <c r="X2" s="20" t="s">
        <v>111</v>
      </c>
      <c r="Y2" s="326" t="s">
        <v>362</v>
      </c>
      <c r="Z2" s="326"/>
      <c r="AA2" s="326"/>
    </row>
    <row r="3" spans="1:27" s="20" customFormat="1" ht="13" x14ac:dyDescent="0.3">
      <c r="A3" s="20" t="s">
        <v>357</v>
      </c>
      <c r="O3" s="244" t="s">
        <v>363</v>
      </c>
      <c r="P3" s="244" t="s">
        <v>364</v>
      </c>
      <c r="Q3" s="244" t="s">
        <v>365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363</v>
      </c>
      <c r="Z3" s="20" t="s">
        <v>364</v>
      </c>
      <c r="AA3" s="20" t="s">
        <v>366</v>
      </c>
    </row>
    <row r="4" spans="1:27" ht="13" x14ac:dyDescent="0.3">
      <c r="A4" s="20" t="s">
        <v>357</v>
      </c>
      <c r="B4" t="s">
        <v>367</v>
      </c>
      <c r="C4">
        <v>1093</v>
      </c>
      <c r="D4">
        <v>691</v>
      </c>
      <c r="F4" t="s">
        <v>368</v>
      </c>
      <c r="G4">
        <v>7.3999999999999996E-2</v>
      </c>
      <c r="H4">
        <v>4.2999999999999997E-2</v>
      </c>
      <c r="J4" t="s">
        <v>368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357</v>
      </c>
      <c r="B5" t="s">
        <v>369</v>
      </c>
      <c r="C5">
        <v>2330</v>
      </c>
      <c r="D5">
        <v>2267</v>
      </c>
      <c r="E5">
        <v>824</v>
      </c>
      <c r="F5" t="s">
        <v>368</v>
      </c>
      <c r="G5">
        <v>6.2E-2</v>
      </c>
      <c r="H5">
        <v>5.7000000000000002E-2</v>
      </c>
      <c r="I5">
        <v>0.06</v>
      </c>
      <c r="J5" t="s">
        <v>368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357</v>
      </c>
      <c r="B6" t="s">
        <v>139</v>
      </c>
      <c r="C6">
        <v>1333</v>
      </c>
      <c r="D6">
        <v>1041</v>
      </c>
      <c r="E6">
        <v>1834</v>
      </c>
      <c r="F6" t="s">
        <v>368</v>
      </c>
      <c r="G6">
        <v>5.0999999999999997E-2</v>
      </c>
      <c r="H6">
        <v>3.4000000000000002E-2</v>
      </c>
      <c r="I6">
        <v>5.0999999999999997E-2</v>
      </c>
      <c r="J6" t="s">
        <v>368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357</v>
      </c>
      <c r="B7" s="246" t="s">
        <v>370</v>
      </c>
      <c r="H7" s="246">
        <v>2.1000000000000001E-2</v>
      </c>
      <c r="I7" s="246"/>
      <c r="J7" t="s">
        <v>368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357</v>
      </c>
      <c r="B8" s="246" t="s">
        <v>371</v>
      </c>
      <c r="H8" s="246">
        <v>7.9000000000000001E-2</v>
      </c>
      <c r="I8" s="246"/>
      <c r="J8" t="s">
        <v>368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357</v>
      </c>
      <c r="B9" s="153" t="s">
        <v>170</v>
      </c>
      <c r="H9" s="246">
        <v>0.11899999999999999</v>
      </c>
      <c r="I9" s="246"/>
      <c r="J9" t="s">
        <v>368</v>
      </c>
    </row>
    <row r="10" spans="1:27" ht="13" x14ac:dyDescent="0.3">
      <c r="A10" s="20" t="s">
        <v>357</v>
      </c>
      <c r="B10" s="153" t="s">
        <v>372</v>
      </c>
      <c r="I10">
        <v>0.1</v>
      </c>
    </row>
    <row r="11" spans="1:27" ht="13" x14ac:dyDescent="0.3">
      <c r="A11" s="20" t="s">
        <v>357</v>
      </c>
      <c r="B11" s="153" t="s">
        <v>373</v>
      </c>
      <c r="I11">
        <v>0.33</v>
      </c>
    </row>
    <row r="12" spans="1:27" ht="15.5" x14ac:dyDescent="0.35">
      <c r="A12" s="20" t="s">
        <v>357</v>
      </c>
      <c r="B12" s="153" t="s">
        <v>374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357</v>
      </c>
      <c r="B13" s="153" t="s">
        <v>375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357</v>
      </c>
      <c r="B14" s="153" t="s">
        <v>376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377</v>
      </c>
      <c r="H17" t="s">
        <v>378</v>
      </c>
      <c r="I17" t="s">
        <v>379</v>
      </c>
      <c r="J17" t="s">
        <v>380</v>
      </c>
      <c r="K17" t="s">
        <v>381</v>
      </c>
      <c r="L17" t="s">
        <v>109</v>
      </c>
      <c r="M17" t="s">
        <v>382</v>
      </c>
      <c r="N17" t="s">
        <v>383</v>
      </c>
      <c r="O17" t="s">
        <v>384</v>
      </c>
    </row>
    <row r="18" spans="1:16" x14ac:dyDescent="0.25">
      <c r="C18" s="247"/>
      <c r="D18" s="247"/>
      <c r="E18" s="247" t="s">
        <v>385</v>
      </c>
      <c r="F18" s="247"/>
      <c r="G18" t="s">
        <v>385</v>
      </c>
      <c r="H18" t="s">
        <v>385</v>
      </c>
      <c r="I18" s="247" t="s">
        <v>386</v>
      </c>
      <c r="J18" s="247" t="s">
        <v>386</v>
      </c>
      <c r="K18" s="247" t="s">
        <v>386</v>
      </c>
      <c r="L18" s="247"/>
      <c r="M18" s="247" t="s">
        <v>111</v>
      </c>
      <c r="N18" s="247" t="s">
        <v>387</v>
      </c>
      <c r="O18" s="247" t="s">
        <v>387</v>
      </c>
      <c r="P18" s="247"/>
    </row>
    <row r="19" spans="1:16" x14ac:dyDescent="0.25">
      <c r="A19" t="s">
        <v>388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360</v>
      </c>
      <c r="I19" t="str">
        <f>I2</f>
        <v>Ethiopia</v>
      </c>
      <c r="J19" t="s">
        <v>360</v>
      </c>
      <c r="K19" t="s">
        <v>360</v>
      </c>
      <c r="L19" t="s">
        <v>360</v>
      </c>
      <c r="M19" t="s">
        <v>348</v>
      </c>
      <c r="P19">
        <f>P2</f>
        <v>0</v>
      </c>
    </row>
    <row r="20" spans="1:16" x14ac:dyDescent="0.25">
      <c r="A20" t="s">
        <v>389</v>
      </c>
      <c r="B20" t="s">
        <v>390</v>
      </c>
      <c r="E20">
        <v>2770</v>
      </c>
      <c r="F20" t="s">
        <v>385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391</v>
      </c>
      <c r="B21" t="s">
        <v>369</v>
      </c>
      <c r="E21">
        <v>2000</v>
      </c>
      <c r="F21" t="s">
        <v>385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392</v>
      </c>
      <c r="B22" t="s">
        <v>393</v>
      </c>
      <c r="E22">
        <v>2900</v>
      </c>
      <c r="F22" t="s">
        <v>385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394</v>
      </c>
      <c r="B23" t="s">
        <v>395</v>
      </c>
      <c r="E23">
        <v>1100</v>
      </c>
      <c r="F23" t="s">
        <v>385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396</v>
      </c>
      <c r="B24" t="s">
        <v>397</v>
      </c>
      <c r="E24">
        <v>1700</v>
      </c>
      <c r="F24" t="s">
        <v>385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398</v>
      </c>
      <c r="B25" t="s">
        <v>121</v>
      </c>
      <c r="E25">
        <v>3333</v>
      </c>
      <c r="F25" t="s">
        <v>385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399</v>
      </c>
      <c r="B26" t="s">
        <v>400</v>
      </c>
      <c r="E26">
        <v>5238</v>
      </c>
      <c r="F26" t="s">
        <v>385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401</v>
      </c>
      <c r="B31" t="s">
        <v>401</v>
      </c>
      <c r="C31" t="s">
        <v>402</v>
      </c>
    </row>
    <row r="32" spans="1:16" x14ac:dyDescent="0.25">
      <c r="C32" t="s">
        <v>403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388</v>
      </c>
      <c r="B34" t="s">
        <v>404</v>
      </c>
      <c r="C34">
        <f>7.66/0.0002777778</f>
        <v>27575.997793920178</v>
      </c>
    </row>
    <row r="35" spans="1:6" x14ac:dyDescent="0.25">
      <c r="A35" t="s">
        <v>388</v>
      </c>
      <c r="B35" t="s">
        <v>405</v>
      </c>
      <c r="C35">
        <f>18.8/0.0002777778</f>
        <v>67679.994585600434</v>
      </c>
    </row>
    <row r="36" spans="1:6" x14ac:dyDescent="0.25">
      <c r="A36" t="s">
        <v>406</v>
      </c>
      <c r="B36" t="s">
        <v>407</v>
      </c>
      <c r="C36">
        <f>8.121/0.0002777778</f>
        <v>29235.597661152191</v>
      </c>
    </row>
    <row r="37" spans="1:6" x14ac:dyDescent="0.25">
      <c r="A37" t="s">
        <v>408</v>
      </c>
      <c r="B37" t="s">
        <v>409</v>
      </c>
      <c r="C37">
        <f>1.263/0.0002777778</f>
        <v>4546.7996362560289</v>
      </c>
    </row>
    <row r="38" spans="1:6" x14ac:dyDescent="0.25">
      <c r="A38" t="s">
        <v>410</v>
      </c>
      <c r="B38" t="s">
        <v>291</v>
      </c>
      <c r="C38">
        <f>5.835/0.0002777778</f>
        <v>21005.998319520135</v>
      </c>
    </row>
    <row r="42" spans="1:6" x14ac:dyDescent="0.25">
      <c r="A42" s="153" t="s">
        <v>411</v>
      </c>
      <c r="B42" s="153" t="s">
        <v>412</v>
      </c>
      <c r="C42" s="325" t="s">
        <v>412</v>
      </c>
      <c r="D42" s="325"/>
      <c r="E42" s="325"/>
    </row>
    <row r="43" spans="1:6" x14ac:dyDescent="0.25">
      <c r="A43" s="153"/>
      <c r="B43" s="153" t="s">
        <v>363</v>
      </c>
      <c r="C43" s="153" t="s">
        <v>363</v>
      </c>
      <c r="D43" s="153" t="s">
        <v>364</v>
      </c>
      <c r="E43" s="153" t="s">
        <v>348</v>
      </c>
      <c r="F43" s="153" t="s">
        <v>413</v>
      </c>
    </row>
    <row r="44" spans="1:6" x14ac:dyDescent="0.25">
      <c r="A44" s="153" t="s">
        <v>414</v>
      </c>
      <c r="B44" s="153" t="s">
        <v>415</v>
      </c>
      <c r="E44">
        <v>0.35</v>
      </c>
    </row>
    <row r="45" spans="1:6" s="154" customFormat="1" x14ac:dyDescent="0.25">
      <c r="A45" s="154" t="s">
        <v>416</v>
      </c>
      <c r="B45" s="154" t="s">
        <v>417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416</v>
      </c>
      <c r="B46" s="154" t="s">
        <v>418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419</v>
      </c>
      <c r="B47" s="153" t="s">
        <v>420</v>
      </c>
      <c r="C47">
        <v>0.8</v>
      </c>
      <c r="D47">
        <v>0.85</v>
      </c>
      <c r="F47">
        <v>0.59299999999999997</v>
      </c>
    </row>
    <row r="48" spans="1:6" x14ac:dyDescent="0.25">
      <c r="A48" t="s">
        <v>421</v>
      </c>
      <c r="B48" s="153" t="s">
        <v>420</v>
      </c>
      <c r="C48">
        <v>0.8</v>
      </c>
      <c r="D48">
        <v>0.81</v>
      </c>
    </row>
    <row r="49" spans="1:6" ht="13" x14ac:dyDescent="0.3">
      <c r="A49" s="248" t="s">
        <v>422</v>
      </c>
      <c r="B49" s="153" t="s">
        <v>423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422</v>
      </c>
      <c r="B50" s="153" t="s">
        <v>424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425</v>
      </c>
      <c r="B51" s="153" t="s">
        <v>426</v>
      </c>
      <c r="E51">
        <v>0.85</v>
      </c>
      <c r="F51">
        <v>0.76100000000000001</v>
      </c>
    </row>
    <row r="52" spans="1:6" x14ac:dyDescent="0.25">
      <c r="A52" t="s">
        <v>427</v>
      </c>
      <c r="B52" s="153" t="s">
        <v>428</v>
      </c>
      <c r="E52">
        <v>0.51039999999999996</v>
      </c>
    </row>
    <row r="53" spans="1:6" ht="13" x14ac:dyDescent="0.3">
      <c r="A53" s="248" t="s">
        <v>429</v>
      </c>
      <c r="B53" s="153" t="s">
        <v>430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252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252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440</v>
      </c>
      <c r="L50" t="s">
        <v>441</v>
      </c>
    </row>
    <row r="51" spans="2:16" x14ac:dyDescent="0.35">
      <c r="C51" t="s">
        <v>431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439</v>
      </c>
      <c r="J51" s="111" t="s">
        <v>438</v>
      </c>
      <c r="K51" s="114" t="s">
        <v>308</v>
      </c>
      <c r="M51" t="s">
        <v>454</v>
      </c>
      <c r="N51" t="s">
        <v>455</v>
      </c>
      <c r="O51" t="s">
        <v>456</v>
      </c>
      <c r="P51" t="s">
        <v>467</v>
      </c>
    </row>
    <row r="52" spans="2:16" x14ac:dyDescent="0.35">
      <c r="C52" t="s">
        <v>432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433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434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437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292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442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436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435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443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457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448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437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449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348</v>
      </c>
    </row>
    <row r="67" spans="2:16" x14ac:dyDescent="0.35">
      <c r="C67" t="s">
        <v>458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N29" sqref="N29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243</v>
      </c>
      <c r="D4" s="1" t="s">
        <v>241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249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250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251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253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244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2" zoomScale="118" zoomScaleNormal="118" workbookViewId="0">
      <selection activeCell="M16" sqref="M16:N18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6" width="11.26953125" style="90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9.7265625" style="90" customWidth="1"/>
    <col min="11" max="11" width="9.36328125" style="90" customWidth="1"/>
    <col min="12" max="12" width="7.08984375" style="90" customWidth="1"/>
    <col min="13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448</v>
      </c>
      <c r="T5" s="158" t="s">
        <v>450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245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449</v>
      </c>
      <c r="T8" s="158" t="s">
        <v>451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458</v>
      </c>
      <c r="T9" s="265" t="s">
        <v>459</v>
      </c>
      <c r="U9" s="253" t="s">
        <v>161</v>
      </c>
      <c r="V9" s="92"/>
      <c r="W9" s="92"/>
      <c r="X9" s="92"/>
      <c r="Y9" s="92"/>
    </row>
    <row r="10" spans="2:25" x14ac:dyDescent="0.25">
      <c r="Q10" s="253" t="s">
        <v>74</v>
      </c>
      <c r="R10" s="92"/>
      <c r="S10" s="253" t="s">
        <v>461</v>
      </c>
      <c r="T10" s="253" t="s">
        <v>463</v>
      </c>
      <c r="U10" s="253" t="s">
        <v>161</v>
      </c>
      <c r="V10" s="92"/>
      <c r="W10" s="92"/>
      <c r="X10" s="92"/>
      <c r="Y10" s="92"/>
    </row>
    <row r="11" spans="2:25" x14ac:dyDescent="0.25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ht="13" x14ac:dyDescent="0.3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3">
      <c r="B16" s="54" t="s">
        <v>1</v>
      </c>
      <c r="C16" s="54" t="s">
        <v>5</v>
      </c>
      <c r="D16" s="54" t="s">
        <v>6</v>
      </c>
      <c r="E16" s="97" t="s">
        <v>464</v>
      </c>
      <c r="F16" s="98" t="s">
        <v>445</v>
      </c>
      <c r="G16" s="97" t="s">
        <v>105</v>
      </c>
      <c r="H16" s="97" t="s">
        <v>106</v>
      </c>
      <c r="I16" s="97" t="s">
        <v>107</v>
      </c>
      <c r="J16" s="97" t="s">
        <v>446</v>
      </c>
      <c r="K16" s="97" t="s">
        <v>171</v>
      </c>
      <c r="L16" s="97" t="s">
        <v>172</v>
      </c>
      <c r="M16" s="97" t="s">
        <v>162</v>
      </c>
      <c r="N16" s="97" t="s">
        <v>469</v>
      </c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31" thickBot="1" x14ac:dyDescent="0.3">
      <c r="B17" s="99" t="s">
        <v>39</v>
      </c>
      <c r="C17" s="99" t="s">
        <v>32</v>
      </c>
      <c r="D17" s="99" t="s">
        <v>33</v>
      </c>
      <c r="E17" s="99" t="s">
        <v>108</v>
      </c>
      <c r="F17" s="99" t="s">
        <v>151</v>
      </c>
      <c r="G17" s="99" t="s">
        <v>109</v>
      </c>
      <c r="H17" s="100" t="s">
        <v>110</v>
      </c>
      <c r="I17" s="99" t="s">
        <v>118</v>
      </c>
      <c r="J17" s="99" t="s">
        <v>447</v>
      </c>
      <c r="K17" s="99" t="s">
        <v>173</v>
      </c>
      <c r="L17" s="100" t="s">
        <v>174</v>
      </c>
      <c r="M17" s="100" t="s">
        <v>163</v>
      </c>
      <c r="N17" s="100" t="s">
        <v>471</v>
      </c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21" thickBot="1" x14ac:dyDescent="0.3">
      <c r="B18" s="101" t="s">
        <v>87</v>
      </c>
      <c r="C18" s="101"/>
      <c r="D18" s="101"/>
      <c r="E18" s="102" t="s">
        <v>237</v>
      </c>
      <c r="F18" s="102"/>
      <c r="G18" s="102" t="s">
        <v>386</v>
      </c>
      <c r="H18" s="103" t="s">
        <v>386</v>
      </c>
      <c r="I18" s="102" t="s">
        <v>111</v>
      </c>
      <c r="J18" s="102"/>
      <c r="K18" s="102"/>
      <c r="L18" s="103"/>
      <c r="M18" s="103"/>
      <c r="N18" s="103" t="s">
        <v>470</v>
      </c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5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7">
        <f>PRI_Sector_Fuels!I23/(DemTechs_INDF!G19*DemTechs_INDF!H19*DemTechs_INDF!M19)</f>
        <v>655.3883584705502</v>
      </c>
      <c r="F19" s="104">
        <v>0.59</v>
      </c>
      <c r="G19" s="105">
        <v>0.55000000000000004</v>
      </c>
      <c r="H19" s="105">
        <v>1</v>
      </c>
      <c r="I19" s="130">
        <v>30</v>
      </c>
      <c r="J19" s="130"/>
      <c r="K19" s="106">
        <v>1515</v>
      </c>
      <c r="L19" s="106"/>
      <c r="M19" s="106">
        <v>8.76</v>
      </c>
      <c r="N19" s="112"/>
      <c r="O19" s="112"/>
      <c r="P19" s="112"/>
      <c r="Q19" s="161" t="s">
        <v>462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5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7">
        <f>PRI_Sector_Fuels!I24/(M20*G20*H20)</f>
        <v>937.81652137816502</v>
      </c>
      <c r="F20" s="104">
        <v>0.41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462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ht="13" x14ac:dyDescent="0.3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7">
        <f>PRI_Sector_Fuels!I25/(M21*G21*H21)</f>
        <v>371.73515981735164</v>
      </c>
      <c r="F21" s="104">
        <v>1</v>
      </c>
      <c r="G21" s="105">
        <v>0.8</v>
      </c>
      <c r="H21" s="107">
        <v>1</v>
      </c>
      <c r="I21" s="106">
        <v>30</v>
      </c>
      <c r="J21" s="130"/>
      <c r="K21" s="106">
        <v>1212</v>
      </c>
      <c r="L21" s="106"/>
      <c r="M21" s="106">
        <v>8.76</v>
      </c>
      <c r="N21" s="112"/>
      <c r="O21" s="112"/>
      <c r="P21" s="112"/>
      <c r="Q21" s="90" t="s">
        <v>112</v>
      </c>
      <c r="S21" s="161" t="s">
        <v>166</v>
      </c>
      <c r="T21" s="90" t="s">
        <v>242</v>
      </c>
      <c r="U21" s="90" t="s">
        <v>161</v>
      </c>
      <c r="V21" s="90" t="s">
        <v>153</v>
      </c>
      <c r="W21" s="167" t="s">
        <v>248</v>
      </c>
    </row>
    <row r="22" spans="2:25" s="157" customFormat="1" ht="13" x14ac:dyDescent="0.3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7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1111</v>
      </c>
      <c r="M22" s="157">
        <v>8.76</v>
      </c>
      <c r="Q22" s="157" t="s">
        <v>462</v>
      </c>
      <c r="S22" s="157" t="s">
        <v>461</v>
      </c>
      <c r="T22" s="157" t="s">
        <v>460</v>
      </c>
      <c r="U22" s="96" t="s">
        <v>161</v>
      </c>
      <c r="V22" s="96" t="s">
        <v>153</v>
      </c>
      <c r="W22" s="168"/>
    </row>
    <row r="23" spans="2:25" s="157" customFormat="1" x14ac:dyDescent="0.25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I32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5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I33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">
        <v>152</v>
      </c>
      <c r="C25" s="158" t="s">
        <v>472</v>
      </c>
      <c r="D25" s="158" t="str">
        <f>S7</f>
        <v>MANCO2</v>
      </c>
      <c r="E25" s="159"/>
      <c r="F25" s="160"/>
      <c r="N25" s="309">
        <f>Emi!C9</f>
        <v>0.34100000000000003</v>
      </c>
      <c r="Q25" s="266"/>
      <c r="R25" s="266"/>
      <c r="S25" s="266"/>
      <c r="T25" s="266"/>
      <c r="U25" s="96"/>
      <c r="V25" s="96"/>
    </row>
    <row r="26" spans="2:25" s="157" customFormat="1" x14ac:dyDescent="0.25">
      <c r="B26" s="96" t="s">
        <v>152</v>
      </c>
      <c r="C26" s="158" t="s">
        <v>473</v>
      </c>
      <c r="D26" s="158" t="str">
        <f>S7</f>
        <v>MANCO2</v>
      </c>
      <c r="E26" s="159"/>
      <c r="F26" s="160"/>
      <c r="N26" s="309">
        <f>Emi!C9</f>
        <v>0.34100000000000003</v>
      </c>
      <c r="V26" s="96"/>
    </row>
    <row r="27" spans="2:25" s="112" customFormat="1" x14ac:dyDescent="0.25">
      <c r="B27" s="161" t="s">
        <v>154</v>
      </c>
      <c r="C27" s="253" t="s">
        <v>474</v>
      </c>
      <c r="D27" s="92" t="str">
        <f>S7</f>
        <v>MANCO2</v>
      </c>
      <c r="E27" s="159"/>
      <c r="F27" s="160"/>
      <c r="G27" s="157"/>
      <c r="H27" s="157"/>
      <c r="I27" s="157"/>
      <c r="J27" s="157"/>
      <c r="K27" s="157"/>
      <c r="N27" s="310">
        <f>Emi!E9</f>
        <v>0.25900000000000001</v>
      </c>
    </row>
    <row r="28" spans="2:25" s="112" customFormat="1" x14ac:dyDescent="0.25">
      <c r="B28" s="161"/>
      <c r="C28" s="253"/>
      <c r="D28" s="92"/>
      <c r="E28" s="159"/>
      <c r="F28" s="160"/>
      <c r="G28" s="157"/>
      <c r="H28" s="157"/>
      <c r="I28" s="157"/>
      <c r="J28" s="157"/>
      <c r="K28" s="157"/>
      <c r="N28" s="310"/>
    </row>
    <row r="29" spans="2:25" x14ac:dyDescent="0.25">
      <c r="B29" s="161"/>
      <c r="C29" s="92"/>
      <c r="D29" s="92"/>
      <c r="E29" s="159"/>
      <c r="F29" s="160"/>
      <c r="G29" s="157"/>
      <c r="H29" s="157"/>
      <c r="I29" s="157"/>
      <c r="J29" s="157"/>
      <c r="K29" s="157"/>
    </row>
    <row r="30" spans="2:25" x14ac:dyDescent="0.25">
      <c r="B30" s="161"/>
      <c r="C30" s="92"/>
      <c r="D30" s="158"/>
      <c r="E30" s="159"/>
      <c r="F30" s="160"/>
      <c r="G30" s="157">
        <v>2022</v>
      </c>
      <c r="H30" s="157">
        <v>2022</v>
      </c>
      <c r="I30" s="157">
        <v>2022</v>
      </c>
      <c r="J30" s="157"/>
      <c r="K30" s="157" t="s">
        <v>468</v>
      </c>
    </row>
    <row r="31" spans="2:25" ht="13" x14ac:dyDescent="0.3">
      <c r="E31" s="161" t="s">
        <v>465</v>
      </c>
      <c r="F31" s="108"/>
      <c r="G31" s="90">
        <f>E19*G19*H19*M19</f>
        <v>3157.661111111111</v>
      </c>
      <c r="H31" s="264">
        <f>G31/(G31+G32)</f>
        <v>0.41136476969163155</v>
      </c>
      <c r="K31" s="264">
        <f>G31/G$35</f>
        <v>0.24025892702523827</v>
      </c>
      <c r="U31" s="92"/>
      <c r="V31" s="92"/>
      <c r="W31" s="167"/>
    </row>
    <row r="32" spans="2:25" x14ac:dyDescent="0.25">
      <c r="E32" s="161" t="s">
        <v>466</v>
      </c>
      <c r="F32" s="108"/>
      <c r="G32" s="90">
        <f>E20*G20*H20*M20</f>
        <v>4518.3999999999996</v>
      </c>
      <c r="H32" s="264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4">
        <f t="shared" ref="K32:K34" si="0">G32/G$35</f>
        <v>0.34379431410511396</v>
      </c>
      <c r="R32" s="112"/>
      <c r="T32" s="112"/>
      <c r="U32" s="113"/>
      <c r="V32" s="113"/>
    </row>
    <row r="33" spans="2:11" x14ac:dyDescent="0.25">
      <c r="E33" s="161" t="s">
        <v>45</v>
      </c>
      <c r="F33" s="108"/>
      <c r="G33" s="90">
        <f>E21*G21*H21*M21</f>
        <v>2605.1200000000003</v>
      </c>
      <c r="H33" s="109">
        <f>G33/G33</f>
        <v>1</v>
      </c>
      <c r="I33" s="90">
        <f>1-I32</f>
        <v>0.25338722972058014</v>
      </c>
      <c r="K33" s="264">
        <f t="shared" si="0"/>
        <v>0.19821738747377715</v>
      </c>
    </row>
    <row r="34" spans="2:11" x14ac:dyDescent="0.25">
      <c r="E34" s="161" t="s">
        <v>46</v>
      </c>
      <c r="G34" s="90">
        <f>E22*G22*H22*M22</f>
        <v>2861.5609722222221</v>
      </c>
      <c r="H34" s="109">
        <f>G34/G34</f>
        <v>1</v>
      </c>
      <c r="I34" s="108">
        <f>H34</f>
        <v>1</v>
      </c>
      <c r="K34" s="264">
        <f t="shared" si="0"/>
        <v>0.21772937139587065</v>
      </c>
    </row>
    <row r="35" spans="2:11" x14ac:dyDescent="0.25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5">
      <c r="B36" s="110"/>
      <c r="C36" s="90" t="s">
        <v>99</v>
      </c>
      <c r="H36" s="109"/>
    </row>
    <row r="37" spans="2:11" x14ac:dyDescent="0.25">
      <c r="E37" s="90" t="s">
        <v>234</v>
      </c>
      <c r="F37" s="90" t="s">
        <v>236</v>
      </c>
      <c r="H37" s="109"/>
    </row>
    <row r="39" spans="2:11" x14ac:dyDescent="0.25">
      <c r="E39" s="90" t="s">
        <v>235</v>
      </c>
      <c r="F39" s="90">
        <f>24*365</f>
        <v>8760</v>
      </c>
    </row>
    <row r="40" spans="2:11" x14ac:dyDescent="0.25">
      <c r="E40" s="21"/>
      <c r="G40" s="90">
        <f>G31+G32+G33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247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458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246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453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452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444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239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240</v>
      </c>
      <c r="D7" s="136" t="s">
        <v>240</v>
      </c>
      <c r="E7" s="136" t="s">
        <v>240</v>
      </c>
      <c r="F7" s="136" t="s">
        <v>240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2025-11-12T11:56:57Z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